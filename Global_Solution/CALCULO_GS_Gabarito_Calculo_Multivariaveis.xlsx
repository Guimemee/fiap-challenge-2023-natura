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sm\Documents\0) 2023\1) FIAP 2023\AVALIAÇÕES 2023\GLOBAL SOLUTION - 1.o sem 2023\2EC\"/>
    </mc:Choice>
  </mc:AlternateContent>
  <xr:revisionPtr revIDLastSave="0" documentId="8_{454F77AD-B580-4325-8067-9889BAB6CD5B}" xr6:coauthVersionLast="47" xr6:coauthVersionMax="47" xr10:uidLastSave="{00000000-0000-0000-0000-000000000000}"/>
  <bookViews>
    <workbookView xWindow="-108" yWindow="-108" windowWidth="23256" windowHeight="12456" xr2:uid="{554DA9F9-D486-4A73-9855-E3943024A82F}"/>
  </bookViews>
  <sheets>
    <sheet name="QUESTÃO 1" sheetId="2" r:id="rId1"/>
    <sheet name="QUESTÃO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3" l="1"/>
  <c r="AD7" i="3"/>
  <c r="AB7" i="3"/>
  <c r="AD23" i="3"/>
  <c r="AE23" i="3"/>
  <c r="AF23" i="3"/>
  <c r="AH23" i="3"/>
  <c r="AR12" i="3"/>
  <c r="AO12" i="3"/>
  <c r="AP12" i="3"/>
  <c r="AM12" i="3"/>
  <c r="AG12" i="3"/>
  <c r="AF12" i="3"/>
  <c r="AD12" i="3"/>
  <c r="AJ11" i="3"/>
  <c r="AI11" i="3"/>
  <c r="AF11" i="3"/>
  <c r="AE11" i="3"/>
  <c r="AD11" i="3"/>
  <c r="AM11" i="3" s="1"/>
  <c r="AB11" i="3"/>
  <c r="AB23" i="3" s="1"/>
  <c r="G32" i="3"/>
  <c r="J32" i="3"/>
  <c r="K32" i="3"/>
  <c r="M32" i="3"/>
  <c r="P32" i="3"/>
  <c r="K28" i="3"/>
  <c r="P21" i="3"/>
  <c r="H23" i="3" s="1"/>
  <c r="H32" i="3" s="1"/>
  <c r="I21" i="3"/>
  <c r="J21" i="3"/>
  <c r="G21" i="3"/>
  <c r="H20" i="3"/>
  <c r="I20" i="3"/>
  <c r="L20" i="3"/>
  <c r="M20" i="3"/>
  <c r="G20" i="3"/>
  <c r="E20" i="3"/>
  <c r="E32" i="3" s="1"/>
  <c r="G14" i="3"/>
  <c r="I14" i="3"/>
  <c r="E14" i="3"/>
  <c r="Q12" i="3"/>
  <c r="N12" i="3"/>
  <c r="S21" i="3" s="1"/>
  <c r="N23" i="3" s="1"/>
  <c r="N32" i="3" s="1"/>
  <c r="G12" i="3"/>
  <c r="H12" i="3"/>
  <c r="E12" i="3"/>
  <c r="F11" i="3"/>
  <c r="L14" i="3" s="1"/>
  <c r="G11" i="3"/>
  <c r="M14" i="3" s="1"/>
  <c r="J11" i="3"/>
  <c r="E11" i="3"/>
  <c r="K14" i="3" s="1"/>
  <c r="G7" i="3"/>
  <c r="H7" i="3"/>
  <c r="E7" i="3"/>
  <c r="F6" i="2"/>
  <c r="F4" i="2"/>
  <c r="F2" i="2"/>
  <c r="H11" i="2" s="1"/>
  <c r="G44" i="2"/>
  <c r="T39" i="2"/>
  <c r="F35" i="2"/>
  <c r="F39" i="2" s="1"/>
  <c r="D35" i="2"/>
  <c r="H31" i="2"/>
  <c r="I31" i="2"/>
  <c r="G28" i="2"/>
  <c r="E25" i="2"/>
  <c r="D25" i="2"/>
  <c r="V25" i="2"/>
  <c r="P28" i="2" s="1"/>
  <c r="G31" i="2" s="1"/>
  <c r="K31" i="2" s="1"/>
  <c r="U25" i="2"/>
  <c r="O28" i="2" s="1"/>
  <c r="F31" i="2" s="1"/>
  <c r="G19" i="2"/>
  <c r="G22" i="2" s="1"/>
  <c r="G13" i="2"/>
  <c r="E16" i="2" s="1"/>
  <c r="R13" i="2"/>
  <c r="K16" i="2" s="1"/>
  <c r="J19" i="2" s="1"/>
  <c r="X13" i="2"/>
  <c r="W13" i="2"/>
  <c r="U13" i="2"/>
  <c r="N16" i="2" s="1"/>
  <c r="M19" i="2" s="1"/>
  <c r="M22" i="2" s="1"/>
  <c r="T25" i="2" s="1"/>
  <c r="N28" i="2" s="1"/>
  <c r="K13" i="2"/>
  <c r="J25" i="2" s="1"/>
  <c r="I35" i="2" s="1"/>
  <c r="L13" i="2"/>
  <c r="K25" i="2" s="1"/>
  <c r="J35" i="2" s="1"/>
  <c r="M13" i="2"/>
  <c r="L25" i="2" s="1"/>
  <c r="K35" i="2" s="1"/>
  <c r="K39" i="2" s="1"/>
  <c r="O13" i="2"/>
  <c r="N25" i="2" s="1"/>
  <c r="M35" i="2" s="1"/>
  <c r="M39" i="2" s="1"/>
  <c r="P13" i="2"/>
  <c r="O25" i="2" s="1"/>
  <c r="I28" i="2" s="1"/>
  <c r="Q13" i="2"/>
  <c r="J16" i="2" s="1"/>
  <c r="I19" i="2" s="1"/>
  <c r="S13" i="2"/>
  <c r="L16" i="2" s="1"/>
  <c r="K19" i="2" s="1"/>
  <c r="K22" i="2" s="1"/>
  <c r="R25" i="2" s="1"/>
  <c r="L28" i="2" s="1"/>
  <c r="I13" i="2"/>
  <c r="H25" i="2" s="1"/>
  <c r="G35" i="2" s="1"/>
  <c r="G39" i="2" s="1"/>
  <c r="N7" i="3" l="1"/>
  <c r="H9" i="3" s="1"/>
  <c r="L12" i="3" s="1"/>
  <c r="T11" i="3" s="1"/>
  <c r="H14" i="3" s="1"/>
  <c r="AK7" i="3"/>
  <c r="AE9" i="3" s="1"/>
  <c r="AN12" i="3" s="1"/>
  <c r="AE5" i="3"/>
  <c r="AC7" i="3" s="1"/>
  <c r="AH14" i="3"/>
  <c r="AH5" i="3"/>
  <c r="AF7" i="3" s="1"/>
  <c r="J4" i="3"/>
  <c r="H11" i="3" s="1"/>
  <c r="N14" i="3" s="1"/>
  <c r="P7" i="3"/>
  <c r="K9" i="3" s="1"/>
  <c r="O12" i="3" s="1"/>
  <c r="H5" i="3"/>
  <c r="F7" i="3" s="1"/>
  <c r="K5" i="3"/>
  <c r="I7" i="3" s="1"/>
  <c r="AG4" i="3"/>
  <c r="AM7" i="3"/>
  <c r="AH9" i="3" s="1"/>
  <c r="AQ12" i="3" s="1"/>
  <c r="E23" i="3"/>
  <c r="AD14" i="3"/>
  <c r="R11" i="2"/>
  <c r="T13" i="2" s="1"/>
  <c r="M16" i="2" s="1"/>
  <c r="L19" i="2" s="1"/>
  <c r="L22" i="2" s="1"/>
  <c r="S25" i="2" s="1"/>
  <c r="L11" i="2"/>
  <c r="N13" i="2" s="1"/>
  <c r="M25" i="2" s="1"/>
  <c r="N35" i="2"/>
  <c r="N39" i="2" s="1"/>
  <c r="S35" i="2"/>
  <c r="S39" i="2" s="1"/>
  <c r="Q35" i="2"/>
  <c r="Q39" i="2" s="1"/>
  <c r="P25" i="2"/>
  <c r="J13" i="2"/>
  <c r="F16" i="3" l="1"/>
  <c r="M16" i="3"/>
  <c r="P16" i="3" s="1"/>
  <c r="S20" i="3" s="1"/>
  <c r="L23" i="3" s="1"/>
  <c r="K26" i="3" s="1"/>
  <c r="AI14" i="3"/>
  <c r="AC23" i="3" s="1"/>
  <c r="I12" i="3"/>
  <c r="AE12" i="3"/>
  <c r="AH12" i="3"/>
  <c r="K21" i="3"/>
  <c r="T12" i="3"/>
  <c r="AG11" i="3"/>
  <c r="AP11" i="3" s="1"/>
  <c r="J20" i="3"/>
  <c r="Q21" i="3"/>
  <c r="I23" i="3" s="1"/>
  <c r="I26" i="3" s="1"/>
  <c r="T21" i="3"/>
  <c r="O23" i="3" s="1"/>
  <c r="R11" i="3"/>
  <c r="F14" i="3" s="1"/>
  <c r="F12" i="3"/>
  <c r="R12" i="3"/>
  <c r="H21" i="3"/>
  <c r="J22" i="2"/>
  <c r="Q25" i="2" s="1"/>
  <c r="L35" i="2"/>
  <c r="L39" i="2" s="1"/>
  <c r="J28" i="2"/>
  <c r="O35" i="2"/>
  <c r="O39" i="2" s="1"/>
  <c r="M28" i="2"/>
  <c r="R35" i="2"/>
  <c r="R39" i="2" s="1"/>
  <c r="O17" i="2"/>
  <c r="E20" i="2" s="1"/>
  <c r="E23" i="2" s="1"/>
  <c r="I25" i="2"/>
  <c r="O22" i="2"/>
  <c r="F25" i="2" s="1"/>
  <c r="I16" i="3" l="1"/>
  <c r="P20" i="3" s="1"/>
  <c r="F23" i="3" s="1"/>
  <c r="F32" i="3" s="1"/>
  <c r="AE15" i="3"/>
  <c r="AM14" i="3" s="1"/>
  <c r="AF17" i="3" s="1"/>
  <c r="AC19" i="3" s="1"/>
  <c r="AL19" i="3" s="1"/>
  <c r="AD17" i="3"/>
  <c r="O23" i="2"/>
  <c r="F26" i="2" s="1"/>
  <c r="F29" i="2" s="1"/>
  <c r="L32" i="3"/>
  <c r="I32" i="3"/>
  <c r="O32" i="3"/>
  <c r="M26" i="3"/>
  <c r="H35" i="2"/>
  <c r="H39" i="2" s="1"/>
  <c r="H28" i="2"/>
  <c r="F28" i="2"/>
  <c r="E35" i="2"/>
  <c r="E39" i="2" s="1"/>
  <c r="K28" i="2"/>
  <c r="P35" i="2"/>
  <c r="P39" i="2" s="1"/>
  <c r="G26" i="3" l="1"/>
  <c r="F28" i="3" s="1"/>
  <c r="O28" i="3" s="1"/>
  <c r="R32" i="3" s="1"/>
  <c r="AG23" i="3"/>
  <c r="E36" i="2"/>
  <c r="E40" i="2" s="1"/>
  <c r="E31" i="2"/>
  <c r="M31" i="2" s="1"/>
  <c r="U35" i="2" s="1"/>
  <c r="U39" i="2" s="1"/>
  <c r="F39" i="3" l="1"/>
  <c r="F40" i="3"/>
  <c r="E42" i="2"/>
  <c r="F44" i="2" s="1"/>
  <c r="AJ23" i="3" l="1"/>
  <c r="AC30" i="3"/>
  <c r="AC31" i="3"/>
  <c r="O36" i="3"/>
  <c r="AL27" i="3" l="1"/>
</calcChain>
</file>

<file path=xl/sharedStrings.xml><?xml version="1.0" encoding="utf-8"?>
<sst xmlns="http://schemas.openxmlformats.org/spreadsheetml/2006/main" count="218" uniqueCount="70">
  <si>
    <t>RM</t>
  </si>
  <si>
    <t>A =</t>
  </si>
  <si>
    <t>B =</t>
  </si>
  <si>
    <t>C =</t>
  </si>
  <si>
    <t>D =</t>
  </si>
  <si>
    <t>E =</t>
  </si>
  <si>
    <t>R</t>
  </si>
  <si>
    <t>S</t>
  </si>
  <si>
    <t>T</t>
  </si>
  <si>
    <t>U(h) =</t>
  </si>
  <si>
    <t xml:space="preserve"> ò</t>
  </si>
  <si>
    <t>(</t>
  </si>
  <si>
    <t>)</t>
  </si>
  <si>
    <t>dh</t>
  </si>
  <si>
    <t>=</t>
  </si>
  <si>
    <t>u</t>
  </si>
  <si>
    <t xml:space="preserve">^ </t>
  </si>
  <si>
    <t>du</t>
  </si>
  <si>
    <t>+</t>
  </si>
  <si>
    <t>^</t>
  </si>
  <si>
    <t>/</t>
  </si>
  <si>
    <t>.</t>
  </si>
  <si>
    <t>h</t>
  </si>
  <si>
    <t>C</t>
  </si>
  <si>
    <t>[</t>
  </si>
  <si>
    <t>]</t>
  </si>
  <si>
    <t>Þ</t>
  </si>
  <si>
    <t>QUESTÃO 1</t>
  </si>
  <si>
    <t>a)</t>
  </si>
  <si>
    <t>1.o)</t>
  </si>
  <si>
    <t>2.o)</t>
  </si>
  <si>
    <t>U(0) = 1</t>
  </si>
  <si>
    <t>Portanto:</t>
  </si>
  <si>
    <t>-</t>
  </si>
  <si>
    <t>Simplificar a fração, se possível</t>
  </si>
  <si>
    <t>b)</t>
  </si>
  <si>
    <t>U(24) =</t>
  </si>
  <si>
    <t>x</t>
  </si>
  <si>
    <t>U(24)=</t>
  </si>
  <si>
    <t>%</t>
  </si>
  <si>
    <t>QUESTÃO 2</t>
  </si>
  <si>
    <t>ò</t>
  </si>
  <si>
    <t xml:space="preserve">h²   + </t>
  </si>
  <si>
    <t>h =</t>
  </si>
  <si>
    <t>Fatoração</t>
  </si>
  <si>
    <t>).(</t>
  </si>
  <si>
    <t xml:space="preserve">  ou   h =</t>
  </si>
  <si>
    <t>( h   +</t>
  </si>
  <si>
    <t>h   +</t>
  </si>
  <si>
    <t>M</t>
  </si>
  <si>
    <t>N</t>
  </si>
  <si>
    <t>M. (h   +</t>
  </si>
  <si>
    <t xml:space="preserve"> </t>
  </si>
  <si>
    <t>M =</t>
  </si>
  <si>
    <t>N =</t>
  </si>
  <si>
    <t>LN(</t>
  </si>
  <si>
    <t>) + N.(h  +</t>
  </si>
  <si>
    <t xml:space="preserve">)  + </t>
  </si>
  <si>
    <t>)   +</t>
  </si>
  <si>
    <t>Assim:</t>
  </si>
  <si>
    <t xml:space="preserve">C     = </t>
  </si>
  <si>
    <t>U(12) =</t>
  </si>
  <si>
    <t>U(6) =</t>
  </si>
  <si>
    <t>Para</t>
  </si>
  <si>
    <t xml:space="preserve">. ( </t>
  </si>
  <si>
    <t xml:space="preserve">h   +   </t>
  </si>
  <si>
    <t xml:space="preserve">h  + </t>
  </si>
  <si>
    <t>LN (</t>
  </si>
  <si>
    <t>h  +</t>
  </si>
  <si>
    <t>A RESOLUÇÃO A SEGUIR É EXCLUSIVA PARA  R =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</si>
</sst>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Symbol"/>
      <family val="1"/>
      <charset val="2"/>
    </font>
    <font>
      <sz val="20"/>
      <color theme="1"/>
      <name val="Symbol"/>
      <family val="1"/>
      <charset val="2"/>
    </font>
    <font>
      <b/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name val="Calibri"/>
      <family val="2"/>
      <scheme val="minor"/>
    </font>
    <font>
      <sz val="22"/>
      <color theme="1"/>
      <name val="Symbol"/>
      <family val="1"/>
      <charset val="2"/>
    </font>
    <font>
      <sz val="2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8" borderId="0" xfId="0" applyFill="1"/>
    <xf numFmtId="0" fontId="4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9" fillId="8" borderId="0" xfId="0" applyFont="1" applyFill="1"/>
    <xf numFmtId="0" fontId="0" fillId="2" borderId="1" xfId="0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8" fillId="5" borderId="0" xfId="0" applyFont="1" applyFill="1" applyAlignment="1">
      <alignment horizontal="center"/>
    </xf>
    <xf numFmtId="2" fontId="8" fillId="5" borderId="0" xfId="0" applyNumberFormat="1" applyFont="1" applyFill="1" applyAlignment="1">
      <alignment horizontal="center"/>
    </xf>
    <xf numFmtId="0" fontId="17" fillId="5" borderId="0" xfId="0" applyFont="1" applyFill="1" applyAlignment="1">
      <alignment horizontal="center" vertical="center"/>
    </xf>
    <xf numFmtId="0" fontId="17" fillId="5" borderId="2" xfId="0" applyFont="1" applyFill="1" applyBorder="1" applyAlignment="1">
      <alignment horizontal="center"/>
    </xf>
    <xf numFmtId="2" fontId="17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8" borderId="0" xfId="0" applyFont="1" applyFill="1"/>
    <xf numFmtId="0" fontId="10" fillId="8" borderId="0" xfId="0" applyFont="1" applyFill="1" applyAlignment="1">
      <alignment horizontal="center"/>
    </xf>
    <xf numFmtId="2" fontId="10" fillId="5" borderId="0" xfId="0" applyNumberFormat="1" applyFont="1" applyFill="1" applyAlignment="1">
      <alignment horizontal="center"/>
    </xf>
    <xf numFmtId="0" fontId="10" fillId="5" borderId="0" xfId="0" applyFont="1" applyFill="1" applyAlignment="1">
      <alignment horizontal="left"/>
    </xf>
    <xf numFmtId="0" fontId="17" fillId="5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2" fontId="17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2" fontId="10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0" fillId="12" borderId="0" xfId="0" applyFill="1" applyProtection="1"/>
    <xf numFmtId="0" fontId="1" fillId="4" borderId="0" xfId="0" applyFont="1" applyFill="1" applyAlignment="1" applyProtection="1">
      <alignment horizontal="center"/>
    </xf>
    <xf numFmtId="0" fontId="1" fillId="3" borderId="0" xfId="0" applyFont="1" applyFill="1" applyAlignment="1" applyProtection="1">
      <alignment horizontal="center"/>
    </xf>
    <xf numFmtId="0" fontId="0" fillId="0" borderId="0" xfId="0" applyProtection="1"/>
    <xf numFmtId="0" fontId="0" fillId="8" borderId="0" xfId="0" applyFill="1" applyProtection="1"/>
    <xf numFmtId="0" fontId="4" fillId="4" borderId="0" xfId="0" applyFont="1" applyFill="1" applyAlignment="1" applyProtection="1">
      <alignment horizontal="center" vertical="center"/>
    </xf>
    <xf numFmtId="0" fontId="8" fillId="6" borderId="0" xfId="0" applyFont="1" applyFill="1" applyAlignment="1" applyProtection="1">
      <alignment horizontal="center" vertical="center"/>
    </xf>
    <xf numFmtId="0" fontId="0" fillId="11" borderId="0" xfId="0" applyFill="1" applyAlignment="1" applyProtection="1">
      <alignment horizontal="center" vertical="center"/>
    </xf>
    <xf numFmtId="0" fontId="12" fillId="11" borderId="0" xfId="0" applyFont="1" applyFill="1" applyAlignment="1" applyProtection="1">
      <alignment horizontal="center" vertical="center"/>
    </xf>
    <xf numFmtId="0" fontId="0" fillId="11" borderId="2" xfId="0" applyFill="1" applyBorder="1" applyProtection="1"/>
    <xf numFmtId="0" fontId="0" fillId="11" borderId="2" xfId="0" applyFill="1" applyBorder="1" applyAlignment="1" applyProtection="1">
      <alignment horizontal="center"/>
    </xf>
    <xf numFmtId="0" fontId="13" fillId="11" borderId="0" xfId="0" applyFont="1" applyFill="1" applyAlignment="1" applyProtection="1">
      <alignment horizontal="center" vertical="center"/>
    </xf>
    <xf numFmtId="0" fontId="0" fillId="11" borderId="0" xfId="0" applyFill="1" applyAlignment="1" applyProtection="1">
      <alignment horizontal="center"/>
    </xf>
    <xf numFmtId="0" fontId="0" fillId="11" borderId="0" xfId="0" applyFill="1" applyProtection="1"/>
    <xf numFmtId="0" fontId="0" fillId="12" borderId="0" xfId="0" applyFill="1" applyAlignment="1" applyProtection="1">
      <alignment vertical="center"/>
    </xf>
    <xf numFmtId="0" fontId="0" fillId="8" borderId="0" xfId="0" applyFill="1" applyAlignment="1" applyProtection="1">
      <alignment vertical="center"/>
    </xf>
    <xf numFmtId="0" fontId="0" fillId="11" borderId="0" xfId="0" applyFill="1" applyAlignment="1" applyProtection="1">
      <alignment horizontal="center" vertical="center"/>
    </xf>
    <xf numFmtId="0" fontId="0" fillId="11" borderId="0" xfId="0" applyFill="1" applyAlignment="1" applyProtection="1">
      <alignment vertical="center"/>
    </xf>
    <xf numFmtId="0" fontId="0" fillId="11" borderId="0" xfId="0" applyFill="1" applyAlignment="1" applyProtection="1">
      <alignment horizontal="left" vertical="center"/>
    </xf>
    <xf numFmtId="0" fontId="6" fillId="11" borderId="0" xfId="0" applyFont="1" applyFill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14" fillId="11" borderId="0" xfId="0" applyFont="1" applyFill="1" applyProtection="1"/>
    <xf numFmtId="0" fontId="3" fillId="8" borderId="0" xfId="0" applyFont="1" applyFill="1" applyProtection="1"/>
    <xf numFmtId="0" fontId="0" fillId="11" borderId="2" xfId="0" applyFill="1" applyBorder="1" applyAlignment="1" applyProtection="1">
      <alignment horizontal="center" vertical="center"/>
    </xf>
    <xf numFmtId="0" fontId="6" fillId="11" borderId="0" xfId="0" applyFont="1" applyFill="1" applyAlignment="1" applyProtection="1">
      <alignment vertical="center"/>
    </xf>
    <xf numFmtId="0" fontId="0" fillId="11" borderId="0" xfId="0" applyFill="1" applyAlignment="1" applyProtection="1">
      <alignment vertical="center"/>
    </xf>
    <xf numFmtId="0" fontId="15" fillId="11" borderId="0" xfId="0" applyFont="1" applyFill="1" applyAlignment="1" applyProtection="1">
      <alignment horizontal="center" vertical="center"/>
    </xf>
    <xf numFmtId="2" fontId="0" fillId="11" borderId="2" xfId="0" applyNumberFormat="1" applyFill="1" applyBorder="1" applyProtection="1"/>
    <xf numFmtId="0" fontId="0" fillId="11" borderId="0" xfId="0" applyFill="1" applyAlignment="1" applyProtection="1">
      <alignment horizontal="left" vertical="center"/>
    </xf>
    <xf numFmtId="0" fontId="0" fillId="8" borderId="0" xfId="0" applyFill="1" applyAlignment="1" applyProtection="1">
      <alignment horizontal="center"/>
    </xf>
    <xf numFmtId="0" fontId="0" fillId="11" borderId="2" xfId="0" applyFill="1" applyBorder="1" applyAlignment="1" applyProtection="1">
      <alignment vertical="center"/>
    </xf>
    <xf numFmtId="0" fontId="8" fillId="11" borderId="0" xfId="0" applyFont="1" applyFill="1" applyAlignment="1" applyProtection="1">
      <alignment vertical="center"/>
    </xf>
    <xf numFmtId="0" fontId="8" fillId="11" borderId="0" xfId="0" applyFont="1" applyFill="1" applyAlignment="1" applyProtection="1">
      <alignment horizontal="center" vertical="center"/>
    </xf>
    <xf numFmtId="2" fontId="8" fillId="11" borderId="0" xfId="0" applyNumberFormat="1" applyFont="1" applyFill="1" applyAlignment="1" applyProtection="1">
      <alignment horizontal="center" vertical="center"/>
    </xf>
    <xf numFmtId="2" fontId="0" fillId="11" borderId="0" xfId="0" applyNumberFormat="1" applyFill="1" applyAlignment="1" applyProtection="1">
      <alignment horizontal="center" vertical="center"/>
    </xf>
    <xf numFmtId="0" fontId="2" fillId="11" borderId="0" xfId="0" applyFont="1" applyFill="1" applyAlignment="1" applyProtection="1">
      <alignment horizontal="center"/>
    </xf>
    <xf numFmtId="0" fontId="6" fillId="11" borderId="0" xfId="0" applyFont="1" applyFill="1" applyAlignment="1" applyProtection="1">
      <alignment horizontal="center"/>
    </xf>
    <xf numFmtId="2" fontId="0" fillId="11" borderId="0" xfId="0" applyNumberFormat="1" applyFill="1" applyProtection="1"/>
    <xf numFmtId="2" fontId="0" fillId="11" borderId="0" xfId="0" applyNumberFormat="1" applyFill="1" applyAlignment="1" applyProtection="1">
      <alignment horizontal="center" vertical="center"/>
    </xf>
    <xf numFmtId="0" fontId="6" fillId="11" borderId="0" xfId="0" applyFont="1" applyFill="1" applyAlignment="1" applyProtection="1">
      <alignment vertical="center"/>
    </xf>
    <xf numFmtId="0" fontId="8" fillId="11" borderId="0" xfId="0" applyFont="1" applyFill="1" applyAlignment="1" applyProtection="1">
      <alignment horizontal="center" vertical="center"/>
    </xf>
    <xf numFmtId="0" fontId="8" fillId="11" borderId="0" xfId="0" applyFont="1" applyFill="1" applyAlignment="1" applyProtection="1">
      <alignment vertical="center"/>
    </xf>
    <xf numFmtId="2" fontId="8" fillId="11" borderId="0" xfId="0" applyNumberFormat="1" applyFont="1" applyFill="1" applyAlignment="1" applyProtection="1">
      <alignment horizontal="center" vertical="center"/>
    </xf>
    <xf numFmtId="0" fontId="0" fillId="11" borderId="2" xfId="0" applyFill="1" applyBorder="1" applyAlignment="1" applyProtection="1">
      <alignment horizontal="center"/>
    </xf>
    <xf numFmtId="0" fontId="9" fillId="8" borderId="0" xfId="0" applyFont="1" applyFill="1" applyProtection="1"/>
    <xf numFmtId="0" fontId="6" fillId="11" borderId="0" xfId="0" applyFont="1" applyFill="1" applyAlignment="1" applyProtection="1">
      <alignment horizontal="center" vertical="center"/>
    </xf>
    <xf numFmtId="0" fontId="8" fillId="11" borderId="0" xfId="0" applyFont="1" applyFill="1" applyAlignment="1" applyProtection="1">
      <alignment horizontal="left" vertical="center"/>
    </xf>
    <xf numFmtId="0" fontId="16" fillId="11" borderId="0" xfId="0" applyFont="1" applyFill="1" applyAlignment="1" applyProtection="1">
      <alignment horizontal="center" vertical="center"/>
    </xf>
    <xf numFmtId="2" fontId="16" fillId="11" borderId="0" xfId="0" applyNumberFormat="1" applyFont="1" applyFill="1" applyAlignment="1" applyProtection="1">
      <alignment horizontal="center" vertical="center"/>
    </xf>
    <xf numFmtId="0" fontId="6" fillId="11" borderId="0" xfId="0" applyFont="1" applyFill="1" applyProtection="1"/>
    <xf numFmtId="0" fontId="0" fillId="8" borderId="0" xfId="0" applyFill="1" applyAlignment="1" applyProtection="1">
      <alignment horizontal="center"/>
    </xf>
    <xf numFmtId="2" fontId="16" fillId="8" borderId="0" xfId="0" applyNumberFormat="1" applyFont="1" applyFill="1" applyAlignment="1" applyProtection="1">
      <alignment horizontal="center"/>
    </xf>
    <xf numFmtId="0" fontId="16" fillId="8" borderId="0" xfId="0" applyFont="1" applyFill="1" applyProtection="1"/>
    <xf numFmtId="0" fontId="8" fillId="8" borderId="0" xfId="0" applyFont="1" applyFill="1" applyAlignment="1" applyProtection="1">
      <alignment vertical="center"/>
    </xf>
    <xf numFmtId="2" fontId="8" fillId="8" borderId="0" xfId="0" applyNumberFormat="1" applyFont="1" applyFill="1" applyAlignment="1" applyProtection="1">
      <alignment horizontal="center" vertical="center"/>
    </xf>
    <xf numFmtId="0" fontId="8" fillId="8" borderId="0" xfId="0" applyFont="1" applyFill="1" applyProtection="1"/>
    <xf numFmtId="0" fontId="8" fillId="8" borderId="0" xfId="0" applyFont="1" applyFill="1" applyAlignment="1" applyProtection="1">
      <alignment horizontal="center"/>
    </xf>
    <xf numFmtId="0" fontId="16" fillId="11" borderId="0" xfId="0" applyFont="1" applyFill="1" applyAlignment="1" applyProtection="1">
      <alignment horizontal="right" vertical="center"/>
    </xf>
    <xf numFmtId="0" fontId="16" fillId="11" borderId="0" xfId="0" applyFont="1" applyFill="1" applyAlignment="1" applyProtection="1">
      <alignment horizontal="left" vertical="center"/>
    </xf>
    <xf numFmtId="0" fontId="0" fillId="8" borderId="0" xfId="0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18803</xdr:colOff>
      <xdr:row>6</xdr:row>
      <xdr:rowOff>18480</xdr:rowOff>
    </xdr:from>
    <xdr:to>
      <xdr:col>26</xdr:col>
      <xdr:colOff>188595</xdr:colOff>
      <xdr:row>8</xdr:row>
      <xdr:rowOff>136636</xdr:rowOff>
    </xdr:to>
    <xdr:pic>
      <xdr:nvPicPr>
        <xdr:cNvPr id="2" name="Imagem 1" descr="Uma imagem contendo Texto&#10;&#10;Descrição gerada automaticamente">
          <a:extLst>
            <a:ext uri="{FF2B5EF4-FFF2-40B4-BE49-F238E27FC236}">
              <a16:creationId xmlns:a16="http://schemas.microsoft.com/office/drawing/2014/main" id="{A288938A-EE94-4E4D-B2B4-D3442BC3EDC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2335" y="1258757"/>
          <a:ext cx="1945090" cy="4910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76200</xdr:colOff>
      <xdr:row>2</xdr:row>
      <xdr:rowOff>38100</xdr:rowOff>
    </xdr:from>
    <xdr:to>
      <xdr:col>22</xdr:col>
      <xdr:colOff>22860</xdr:colOff>
      <xdr:row>4</xdr:row>
      <xdr:rowOff>38100</xdr:rowOff>
    </xdr:to>
    <xdr:pic>
      <xdr:nvPicPr>
        <xdr:cNvPr id="2" name="Imagem 1" descr="Uma imagem contendo Gráfico&#10;&#10;Descrição gerada automaticamente">
          <a:extLst>
            <a:ext uri="{FF2B5EF4-FFF2-40B4-BE49-F238E27FC236}">
              <a16:creationId xmlns:a16="http://schemas.microsoft.com/office/drawing/2014/main" id="{629E1FD3-99B9-4832-9A7E-C8045BEC721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8440" y="403860"/>
          <a:ext cx="2308860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34</xdr:row>
      <xdr:rowOff>0</xdr:rowOff>
    </xdr:from>
    <xdr:to>
      <xdr:col>11</xdr:col>
      <xdr:colOff>76200</xdr:colOff>
      <xdr:row>37</xdr:row>
      <xdr:rowOff>106680</xdr:rowOff>
    </xdr:to>
    <xdr:pic>
      <xdr:nvPicPr>
        <xdr:cNvPr id="3" name="Imagem 2" descr="Diagrama, Esquemático&#10;&#10;Descrição gerada automaticamente">
          <a:extLst>
            <a:ext uri="{FF2B5EF4-FFF2-40B4-BE49-F238E27FC236}">
              <a16:creationId xmlns:a16="http://schemas.microsoft.com/office/drawing/2014/main" id="{55FF31BC-D42F-457D-A803-91A78748011D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559040"/>
          <a:ext cx="3413760" cy="685800"/>
        </a:xfrm>
        <a:prstGeom prst="rect">
          <a:avLst/>
        </a:prstGeom>
      </xdr:spPr>
    </xdr:pic>
    <xdr:clientData/>
  </xdr:twoCellAnchor>
  <xdr:oneCellAnchor>
    <xdr:from>
      <xdr:col>39</xdr:col>
      <xdr:colOff>83820</xdr:colOff>
      <xdr:row>2</xdr:row>
      <xdr:rowOff>68580</xdr:rowOff>
    </xdr:from>
    <xdr:ext cx="2308860" cy="381000"/>
    <xdr:pic>
      <xdr:nvPicPr>
        <xdr:cNvPr id="6" name="Imagem 5" descr="Uma imagem contendo Gráfico&#10;&#10;Descrição gerada automaticamente">
          <a:extLst>
            <a:ext uri="{FF2B5EF4-FFF2-40B4-BE49-F238E27FC236}">
              <a16:creationId xmlns:a16="http://schemas.microsoft.com/office/drawing/2014/main" id="{E5E5D28C-418E-46D3-8613-525A2CB7028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70680" y="434340"/>
          <a:ext cx="2308860" cy="381000"/>
        </a:xfrm>
        <a:prstGeom prst="rect">
          <a:avLst/>
        </a:prstGeom>
      </xdr:spPr>
    </xdr:pic>
    <xdr:clientData/>
  </xdr:oneCellAnchor>
  <xdr:oneCellAnchor>
    <xdr:from>
      <xdr:col>26</xdr:col>
      <xdr:colOff>160020</xdr:colOff>
      <xdr:row>24</xdr:row>
      <xdr:rowOff>167640</xdr:rowOff>
    </xdr:from>
    <xdr:ext cx="3352800" cy="678180"/>
    <xdr:pic>
      <xdr:nvPicPr>
        <xdr:cNvPr id="7" name="Imagem 6" descr="Diagrama, Esquemático&#10;&#10;Descrição gerada automaticamente">
          <a:extLst>
            <a:ext uri="{FF2B5EF4-FFF2-40B4-BE49-F238E27FC236}">
              <a16:creationId xmlns:a16="http://schemas.microsoft.com/office/drawing/2014/main" id="{11ABCF49-609F-49B6-9B79-C0D5EE4ED8C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9260" y="5821680"/>
          <a:ext cx="3352800" cy="6781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3643-9C98-4154-B000-635D9FB4ED6E}">
  <dimension ref="A1:Y62"/>
  <sheetViews>
    <sheetView tabSelected="1" zoomScale="107" zoomScaleNormal="107" workbookViewId="0">
      <selection activeCell="AN19" sqref="AN19"/>
    </sheetView>
  </sheetViews>
  <sheetFormatPr defaultColWidth="3.33203125" defaultRowHeight="14.4" x14ac:dyDescent="0.3"/>
  <cols>
    <col min="2" max="2" width="3.6640625" bestFit="1" customWidth="1"/>
    <col min="3" max="3" width="4.6640625" bestFit="1" customWidth="1"/>
    <col min="4" max="4" width="7.5546875" bestFit="1" customWidth="1"/>
    <col min="5" max="5" width="7.77734375" style="2" bestFit="1" customWidth="1"/>
    <col min="6" max="6" width="6.33203125" style="2" bestFit="1" customWidth="1"/>
    <col min="7" max="7" width="3.33203125" style="2"/>
    <col min="8" max="9" width="3.44140625" style="2" bestFit="1" customWidth="1"/>
    <col min="10" max="11" width="3.21875" style="2" bestFit="1" customWidth="1"/>
    <col min="12" max="12" width="3.44140625" style="2" bestFit="1" customWidth="1"/>
    <col min="13" max="13" width="5.88671875" style="2" bestFit="1" customWidth="1"/>
    <col min="14" max="15" width="3.21875" style="2" bestFit="1" customWidth="1"/>
    <col min="16" max="19" width="3.44140625" style="2" bestFit="1" customWidth="1"/>
    <col min="20" max="20" width="3.21875" style="2" bestFit="1" customWidth="1"/>
    <col min="21" max="21" width="5.21875" style="2" bestFit="1" customWidth="1"/>
    <col min="22" max="22" width="2.21875" style="2" bestFit="1" customWidth="1"/>
    <col min="23" max="23" width="3.21875" style="2" bestFit="1" customWidth="1"/>
    <col min="24" max="24" width="2" bestFit="1" customWidth="1"/>
  </cols>
  <sheetData>
    <row r="1" spans="1:25" x14ac:dyDescent="0.3">
      <c r="B1" s="48" t="s">
        <v>0</v>
      </c>
      <c r="C1" s="48"/>
    </row>
    <row r="2" spans="1:25" ht="18" x14ac:dyDescent="0.35">
      <c r="B2" s="11" t="s">
        <v>1</v>
      </c>
      <c r="C2" s="1">
        <v>1</v>
      </c>
      <c r="E2" s="3" t="s">
        <v>6</v>
      </c>
      <c r="F2" s="4">
        <f>C2+1</f>
        <v>2</v>
      </c>
      <c r="X2" s="2"/>
    </row>
    <row r="3" spans="1:25" x14ac:dyDescent="0.3">
      <c r="B3" s="11" t="s">
        <v>2</v>
      </c>
      <c r="C3" s="1">
        <v>2</v>
      </c>
      <c r="E3" s="5"/>
      <c r="X3" s="2"/>
    </row>
    <row r="4" spans="1:25" ht="18" x14ac:dyDescent="0.35">
      <c r="B4" s="11" t="s">
        <v>3</v>
      </c>
      <c r="C4" s="1">
        <v>3</v>
      </c>
      <c r="E4" s="3" t="s">
        <v>7</v>
      </c>
      <c r="F4" s="4">
        <f>C3+3</f>
        <v>5</v>
      </c>
      <c r="X4" s="2"/>
    </row>
    <row r="5" spans="1:25" x14ac:dyDescent="0.3">
      <c r="B5" s="11" t="s">
        <v>4</v>
      </c>
      <c r="C5" s="1">
        <v>4</v>
      </c>
      <c r="E5" s="5"/>
      <c r="X5" s="2"/>
    </row>
    <row r="6" spans="1:25" ht="18" x14ac:dyDescent="0.35">
      <c r="B6" s="11" t="s">
        <v>5</v>
      </c>
      <c r="C6" s="1">
        <v>5</v>
      </c>
      <c r="E6" s="3" t="s">
        <v>8</v>
      </c>
      <c r="F6" s="4">
        <f>C4+5</f>
        <v>8</v>
      </c>
      <c r="X6" s="2"/>
    </row>
    <row r="8" spans="1:25" x14ac:dyDescent="0.3">
      <c r="A8" s="6"/>
      <c r="B8" s="47" t="s">
        <v>27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6"/>
    </row>
    <row r="9" spans="1:25" x14ac:dyDescent="0.3">
      <c r="A9" s="6"/>
      <c r="B9" s="6"/>
      <c r="C9" s="6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2"/>
      <c r="Y9" s="6"/>
    </row>
    <row r="10" spans="1:25" ht="15.6" x14ac:dyDescent="0.3">
      <c r="A10" s="6"/>
      <c r="B10" s="7" t="s">
        <v>28</v>
      </c>
      <c r="C10" s="8" t="s">
        <v>29</v>
      </c>
      <c r="D10" s="36" t="s">
        <v>9</v>
      </c>
      <c r="E10" s="37" t="s">
        <v>10</v>
      </c>
      <c r="F10" s="38">
        <v>3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6" t="s">
        <v>13</v>
      </c>
      <c r="U10" s="36" t="s">
        <v>14</v>
      </c>
      <c r="V10" s="12"/>
      <c r="W10" s="12"/>
      <c r="X10" s="12"/>
      <c r="Y10" s="6"/>
    </row>
    <row r="11" spans="1:25" x14ac:dyDescent="0.3">
      <c r="A11" s="6"/>
      <c r="B11" s="6"/>
      <c r="C11" s="6"/>
      <c r="D11" s="36"/>
      <c r="E11" s="37"/>
      <c r="F11" s="16" t="s">
        <v>11</v>
      </c>
      <c r="G11" s="16"/>
      <c r="H11" s="16">
        <f>F2</f>
        <v>2</v>
      </c>
      <c r="I11" s="16" t="s">
        <v>21</v>
      </c>
      <c r="J11" s="16" t="s">
        <v>22</v>
      </c>
      <c r="K11" s="16" t="s">
        <v>18</v>
      </c>
      <c r="L11" s="16">
        <f>F4</f>
        <v>5</v>
      </c>
      <c r="M11" s="16" t="s">
        <v>12</v>
      </c>
      <c r="N11" s="16" t="s">
        <v>19</v>
      </c>
      <c r="O11" s="16" t="s">
        <v>11</v>
      </c>
      <c r="P11" s="16">
        <v>1</v>
      </c>
      <c r="Q11" s="16" t="s">
        <v>20</v>
      </c>
      <c r="R11" s="16">
        <f>F6</f>
        <v>8</v>
      </c>
      <c r="S11" s="16" t="s">
        <v>12</v>
      </c>
      <c r="T11" s="36"/>
      <c r="U11" s="36"/>
      <c r="V11" s="12"/>
      <c r="W11" s="12"/>
      <c r="X11" s="12"/>
      <c r="Y11" s="6"/>
    </row>
    <row r="12" spans="1:25" ht="4.8" customHeight="1" x14ac:dyDescent="0.3">
      <c r="A12" s="6"/>
      <c r="B12" s="6"/>
      <c r="C12" s="6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2"/>
      <c r="X12" s="12"/>
      <c r="Y12" s="6"/>
    </row>
    <row r="13" spans="1:25" ht="24.6" customHeight="1" x14ac:dyDescent="0.3">
      <c r="A13" s="6"/>
      <c r="B13" s="6"/>
      <c r="C13" s="6"/>
      <c r="D13" s="36" t="s">
        <v>14</v>
      </c>
      <c r="E13" s="37" t="s">
        <v>10</v>
      </c>
      <c r="F13" s="36" t="s">
        <v>24</v>
      </c>
      <c r="G13" s="36">
        <f>F10</f>
        <v>3</v>
      </c>
      <c r="H13" s="36" t="s">
        <v>21</v>
      </c>
      <c r="I13" s="36" t="str">
        <f>F11</f>
        <v>(</v>
      </c>
      <c r="J13" s="36">
        <f t="shared" ref="J13:Q13" si="0">H11</f>
        <v>2</v>
      </c>
      <c r="K13" s="36" t="str">
        <f t="shared" si="0"/>
        <v>.</v>
      </c>
      <c r="L13" s="36" t="str">
        <f t="shared" si="0"/>
        <v>h</v>
      </c>
      <c r="M13" s="36" t="str">
        <f t="shared" si="0"/>
        <v>+</v>
      </c>
      <c r="N13" s="36">
        <f t="shared" si="0"/>
        <v>5</v>
      </c>
      <c r="O13" s="36" t="str">
        <f t="shared" si="0"/>
        <v>)</v>
      </c>
      <c r="P13" s="36" t="str">
        <f t="shared" si="0"/>
        <v>^</v>
      </c>
      <c r="Q13" s="36" t="str">
        <f t="shared" si="0"/>
        <v>(</v>
      </c>
      <c r="R13" s="36">
        <f>-P11</f>
        <v>-1</v>
      </c>
      <c r="S13" s="36" t="str">
        <f>Q11</f>
        <v>/</v>
      </c>
      <c r="T13" s="36">
        <f>R11</f>
        <v>8</v>
      </c>
      <c r="U13" s="36" t="str">
        <f>S11</f>
        <v>)</v>
      </c>
      <c r="V13" s="36" t="s">
        <v>25</v>
      </c>
      <c r="W13" s="36" t="str">
        <f>T10</f>
        <v>dh</v>
      </c>
      <c r="X13" s="36" t="str">
        <f>U10</f>
        <v>=</v>
      </c>
      <c r="Y13" s="6"/>
    </row>
    <row r="14" spans="1:25" ht="24.6" customHeight="1" x14ac:dyDescent="0.3">
      <c r="A14" s="6"/>
      <c r="B14" s="6"/>
      <c r="C14" s="6"/>
      <c r="D14" s="36"/>
      <c r="E14" s="37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6"/>
    </row>
    <row r="15" spans="1:25" ht="4.8" customHeight="1" x14ac:dyDescent="0.3">
      <c r="A15" s="6"/>
      <c r="B15" s="6"/>
      <c r="C15" s="6"/>
      <c r="D15" s="12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2"/>
      <c r="X15" s="12"/>
      <c r="Y15" s="6"/>
    </row>
    <row r="16" spans="1:25" x14ac:dyDescent="0.3">
      <c r="A16" s="6"/>
      <c r="B16" s="6"/>
      <c r="C16" s="6"/>
      <c r="D16" s="36" t="s">
        <v>14</v>
      </c>
      <c r="E16" s="36">
        <f>G13</f>
        <v>3</v>
      </c>
      <c r="F16" s="36" t="s">
        <v>21</v>
      </c>
      <c r="G16" s="37" t="s">
        <v>10</v>
      </c>
      <c r="H16" s="36" t="s">
        <v>15</v>
      </c>
      <c r="I16" s="36" t="s">
        <v>16</v>
      </c>
      <c r="J16" s="36" t="str">
        <f>Q13</f>
        <v>(</v>
      </c>
      <c r="K16" s="36">
        <f>R13</f>
        <v>-1</v>
      </c>
      <c r="L16" s="36" t="str">
        <f>S13</f>
        <v>/</v>
      </c>
      <c r="M16" s="36">
        <f>T13</f>
        <v>8</v>
      </c>
      <c r="N16" s="36" t="str">
        <f>U13</f>
        <v>)</v>
      </c>
      <c r="O16" s="17" t="s">
        <v>17</v>
      </c>
      <c r="P16" s="36" t="s">
        <v>14</v>
      </c>
      <c r="Q16" s="39"/>
      <c r="R16" s="39"/>
      <c r="S16" s="39"/>
      <c r="T16" s="39"/>
      <c r="U16" s="39"/>
      <c r="V16" s="13"/>
      <c r="W16" s="12"/>
      <c r="X16" s="12"/>
      <c r="Y16" s="6"/>
    </row>
    <row r="17" spans="1:25" x14ac:dyDescent="0.3">
      <c r="A17" s="6"/>
      <c r="B17" s="6"/>
      <c r="C17" s="6"/>
      <c r="D17" s="36"/>
      <c r="E17" s="36"/>
      <c r="F17" s="36"/>
      <c r="G17" s="37"/>
      <c r="H17" s="36"/>
      <c r="I17" s="36"/>
      <c r="J17" s="36"/>
      <c r="K17" s="36"/>
      <c r="L17" s="36"/>
      <c r="M17" s="36"/>
      <c r="N17" s="36"/>
      <c r="O17" s="14">
        <f>J13</f>
        <v>2</v>
      </c>
      <c r="P17" s="36"/>
      <c r="Q17" s="39"/>
      <c r="R17" s="39"/>
      <c r="S17" s="39"/>
      <c r="T17" s="39"/>
      <c r="U17" s="39"/>
      <c r="V17" s="13"/>
      <c r="W17" s="12"/>
      <c r="X17" s="12"/>
      <c r="Y17" s="6"/>
    </row>
    <row r="18" spans="1:25" ht="4.8" customHeight="1" x14ac:dyDescent="0.3">
      <c r="A18" s="6"/>
      <c r="B18" s="6"/>
      <c r="C18" s="6"/>
      <c r="D18" s="12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2"/>
      <c r="Y18" s="6"/>
    </row>
    <row r="19" spans="1:25" ht="14.4" customHeight="1" x14ac:dyDescent="0.3">
      <c r="A19" s="6"/>
      <c r="B19" s="6"/>
      <c r="C19" s="6"/>
      <c r="D19" s="36" t="s">
        <v>14</v>
      </c>
      <c r="E19" s="17">
        <v>3</v>
      </c>
      <c r="F19" s="40" t="s">
        <v>10</v>
      </c>
      <c r="G19" s="36" t="str">
        <f>H16</f>
        <v>u</v>
      </c>
      <c r="H19" s="36" t="s">
        <v>16</v>
      </c>
      <c r="I19" s="36" t="str">
        <f>J16</f>
        <v>(</v>
      </c>
      <c r="J19" s="36">
        <f>K16</f>
        <v>-1</v>
      </c>
      <c r="K19" s="36" t="str">
        <f t="shared" ref="K19:M19" si="1">L16</f>
        <v>/</v>
      </c>
      <c r="L19" s="36">
        <f t="shared" si="1"/>
        <v>8</v>
      </c>
      <c r="M19" s="36" t="str">
        <f t="shared" si="1"/>
        <v>)</v>
      </c>
      <c r="N19" s="36" t="s">
        <v>17</v>
      </c>
      <c r="O19" s="36" t="s">
        <v>14</v>
      </c>
      <c r="P19" s="13"/>
      <c r="Q19" s="13"/>
      <c r="R19" s="13"/>
      <c r="S19" s="13"/>
      <c r="T19" s="12"/>
      <c r="U19" s="12"/>
      <c r="V19" s="12"/>
      <c r="W19" s="12"/>
      <c r="X19" s="12"/>
      <c r="Y19" s="6"/>
    </row>
    <row r="20" spans="1:25" ht="14.4" customHeight="1" x14ac:dyDescent="0.3">
      <c r="A20" s="6"/>
      <c r="B20" s="6"/>
      <c r="C20" s="6"/>
      <c r="D20" s="36"/>
      <c r="E20" s="14">
        <f>O17</f>
        <v>2</v>
      </c>
      <c r="F20" s="40"/>
      <c r="G20" s="36"/>
      <c r="H20" s="36"/>
      <c r="I20" s="36"/>
      <c r="J20" s="36"/>
      <c r="K20" s="36"/>
      <c r="L20" s="36"/>
      <c r="M20" s="36"/>
      <c r="N20" s="36"/>
      <c r="O20" s="36"/>
      <c r="P20" s="13"/>
      <c r="Q20" s="13"/>
      <c r="R20" s="13"/>
      <c r="S20" s="13"/>
      <c r="T20" s="12"/>
      <c r="U20" s="12"/>
      <c r="V20" s="12"/>
      <c r="W20" s="12"/>
      <c r="X20" s="12"/>
      <c r="Y20" s="6"/>
    </row>
    <row r="21" spans="1:25" ht="4.8" customHeight="1" x14ac:dyDescent="0.3">
      <c r="A21" s="6"/>
      <c r="B21" s="6"/>
      <c r="C21" s="6"/>
      <c r="D21" s="12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2"/>
      <c r="Y21" s="6"/>
    </row>
    <row r="22" spans="1:25" x14ac:dyDescent="0.3">
      <c r="A22" s="6"/>
      <c r="B22" s="6"/>
      <c r="C22" s="6"/>
      <c r="D22" s="36" t="s">
        <v>14</v>
      </c>
      <c r="E22" s="17">
        <v>3</v>
      </c>
      <c r="F22" s="36" t="s">
        <v>21</v>
      </c>
      <c r="G22" s="36" t="str">
        <f>G19</f>
        <v>u</v>
      </c>
      <c r="H22" s="36" t="s">
        <v>19</v>
      </c>
      <c r="I22" s="36" t="s">
        <v>11</v>
      </c>
      <c r="J22" s="36">
        <f>L19+J19</f>
        <v>7</v>
      </c>
      <c r="K22" s="36" t="str">
        <f>K19</f>
        <v>/</v>
      </c>
      <c r="L22" s="36">
        <f>L19</f>
        <v>8</v>
      </c>
      <c r="M22" s="36" t="str">
        <f>M19</f>
        <v>)</v>
      </c>
      <c r="N22" s="36" t="s">
        <v>21</v>
      </c>
      <c r="O22" s="17">
        <f>L22</f>
        <v>8</v>
      </c>
      <c r="P22" s="36" t="s">
        <v>18</v>
      </c>
      <c r="Q22" s="36" t="s">
        <v>23</v>
      </c>
      <c r="R22" s="42" t="s">
        <v>26</v>
      </c>
      <c r="S22" s="13"/>
      <c r="T22" s="13"/>
      <c r="U22" s="13"/>
      <c r="V22" s="13"/>
      <c r="W22" s="12"/>
      <c r="X22" s="12"/>
      <c r="Y22" s="6"/>
    </row>
    <row r="23" spans="1:25" x14ac:dyDescent="0.3">
      <c r="A23" s="6"/>
      <c r="B23" s="6"/>
      <c r="C23" s="6"/>
      <c r="D23" s="36"/>
      <c r="E23" s="14">
        <f>E20</f>
        <v>2</v>
      </c>
      <c r="F23" s="36"/>
      <c r="G23" s="36"/>
      <c r="H23" s="36"/>
      <c r="I23" s="36"/>
      <c r="J23" s="36"/>
      <c r="K23" s="36"/>
      <c r="L23" s="36"/>
      <c r="M23" s="36"/>
      <c r="N23" s="36"/>
      <c r="O23" s="14">
        <f>J22</f>
        <v>7</v>
      </c>
      <c r="P23" s="36"/>
      <c r="Q23" s="36"/>
      <c r="R23" s="36"/>
      <c r="S23" s="13"/>
      <c r="T23" s="13"/>
      <c r="U23" s="13"/>
      <c r="V23" s="13"/>
      <c r="W23" s="12"/>
      <c r="X23" s="12"/>
      <c r="Y23" s="6"/>
    </row>
    <row r="24" spans="1:25" ht="4.8" customHeight="1" x14ac:dyDescent="0.3">
      <c r="A24" s="6"/>
      <c r="B24" s="6"/>
      <c r="C24" s="6"/>
      <c r="D24" s="12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2"/>
      <c r="X24" s="12"/>
      <c r="Y24" s="6"/>
    </row>
    <row r="25" spans="1:25" ht="15.6" x14ac:dyDescent="0.3">
      <c r="A25" s="6"/>
      <c r="B25" s="6"/>
      <c r="C25" s="6"/>
      <c r="D25" s="42" t="str">
        <f>R22</f>
        <v>Þ</v>
      </c>
      <c r="E25" s="41" t="str">
        <f>D10</f>
        <v>U(h) =</v>
      </c>
      <c r="F25" s="19">
        <f>E22*O22</f>
        <v>24</v>
      </c>
      <c r="G25" s="41" t="s">
        <v>21</v>
      </c>
      <c r="H25" s="41" t="str">
        <f>I13</f>
        <v>(</v>
      </c>
      <c r="I25" s="41">
        <f t="shared" ref="I25:P25" si="2">J13</f>
        <v>2</v>
      </c>
      <c r="J25" s="41" t="str">
        <f t="shared" si="2"/>
        <v>.</v>
      </c>
      <c r="K25" s="41" t="str">
        <f t="shared" si="2"/>
        <v>h</v>
      </c>
      <c r="L25" s="41" t="str">
        <f t="shared" si="2"/>
        <v>+</v>
      </c>
      <c r="M25" s="41">
        <f t="shared" si="2"/>
        <v>5</v>
      </c>
      <c r="N25" s="41" t="str">
        <f t="shared" si="2"/>
        <v>)</v>
      </c>
      <c r="O25" s="41" t="str">
        <f t="shared" si="2"/>
        <v>^</v>
      </c>
      <c r="P25" s="41" t="str">
        <f t="shared" si="2"/>
        <v>(</v>
      </c>
      <c r="Q25" s="41">
        <f>J22</f>
        <v>7</v>
      </c>
      <c r="R25" s="41" t="str">
        <f>K22</f>
        <v>/</v>
      </c>
      <c r="S25" s="41">
        <f>L22</f>
        <v>8</v>
      </c>
      <c r="T25" s="41" t="str">
        <f>M22</f>
        <v>)</v>
      </c>
      <c r="U25" s="41" t="str">
        <f>P22</f>
        <v>+</v>
      </c>
      <c r="V25" s="41" t="str">
        <f>Q22</f>
        <v>C</v>
      </c>
      <c r="W25" s="41"/>
      <c r="X25" s="12"/>
      <c r="Y25" s="6"/>
    </row>
    <row r="26" spans="1:25" ht="15.6" x14ac:dyDescent="0.3">
      <c r="A26" s="6"/>
      <c r="B26" s="6"/>
      <c r="C26" s="6"/>
      <c r="D26" s="42"/>
      <c r="E26" s="41"/>
      <c r="F26" s="18">
        <f>E23*O23</f>
        <v>14</v>
      </c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12"/>
      <c r="Y26" s="6"/>
    </row>
    <row r="27" spans="1:25" x14ac:dyDescent="0.3">
      <c r="A27" s="6"/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6"/>
      <c r="Y27" s="6"/>
    </row>
    <row r="28" spans="1:25" ht="15.6" x14ac:dyDescent="0.3">
      <c r="A28" s="6"/>
      <c r="B28" s="6"/>
      <c r="C28" s="8" t="s">
        <v>30</v>
      </c>
      <c r="D28" s="36" t="s">
        <v>31</v>
      </c>
      <c r="E28" s="42" t="s">
        <v>26</v>
      </c>
      <c r="F28" s="15">
        <f>F25</f>
        <v>24</v>
      </c>
      <c r="G28" s="16" t="str">
        <f>G25</f>
        <v>.</v>
      </c>
      <c r="H28" s="36">
        <f>I25*0+M25</f>
        <v>5</v>
      </c>
      <c r="I28" s="36" t="str">
        <f>O25</f>
        <v>^</v>
      </c>
      <c r="J28" s="36" t="str">
        <f>P25</f>
        <v>(</v>
      </c>
      <c r="K28" s="36">
        <f>Q25</f>
        <v>7</v>
      </c>
      <c r="L28" s="36" t="str">
        <f>R25</f>
        <v>/</v>
      </c>
      <c r="M28" s="36">
        <f>S25</f>
        <v>8</v>
      </c>
      <c r="N28" s="36" t="str">
        <f t="shared" ref="N28" si="3">T25</f>
        <v>)</v>
      </c>
      <c r="O28" s="36" t="str">
        <f t="shared" ref="O28" si="4">U25</f>
        <v>+</v>
      </c>
      <c r="P28" s="36" t="str">
        <f t="shared" ref="P28" si="5">V25</f>
        <v>C</v>
      </c>
      <c r="Q28" s="36" t="s">
        <v>14</v>
      </c>
      <c r="R28" s="36">
        <v>1</v>
      </c>
      <c r="S28" s="42" t="s">
        <v>26</v>
      </c>
      <c r="T28" s="16"/>
      <c r="U28" s="9"/>
      <c r="V28" s="9"/>
      <c r="W28" s="6"/>
      <c r="X28" s="6"/>
      <c r="Y28" s="6"/>
    </row>
    <row r="29" spans="1:25" x14ac:dyDescent="0.3">
      <c r="A29" s="6"/>
      <c r="B29" s="6"/>
      <c r="C29" s="6"/>
      <c r="D29" s="36"/>
      <c r="E29" s="42"/>
      <c r="F29" s="16">
        <f>F26</f>
        <v>14</v>
      </c>
      <c r="G29" s="1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42"/>
      <c r="T29" s="16"/>
      <c r="U29" s="9"/>
      <c r="V29" s="9"/>
      <c r="W29" s="9"/>
      <c r="X29" s="6"/>
      <c r="Y29" s="6"/>
    </row>
    <row r="30" spans="1:25" ht="5.4" customHeight="1" x14ac:dyDescent="0.3">
      <c r="A30" s="6"/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6"/>
      <c r="Y30" s="6"/>
    </row>
    <row r="31" spans="1:25" ht="15.6" x14ac:dyDescent="0.3">
      <c r="A31" s="6"/>
      <c r="B31" s="6"/>
      <c r="C31" s="6"/>
      <c r="D31" s="20" t="s">
        <v>26</v>
      </c>
      <c r="E31" s="21">
        <f>(F28/F29)*(H28^(K28/M28))</f>
        <v>7.0094180053537922</v>
      </c>
      <c r="F31" s="16" t="str">
        <f>O28</f>
        <v>+</v>
      </c>
      <c r="G31" s="16" t="str">
        <f t="shared" ref="G31:I31" si="6">P28</f>
        <v>C</v>
      </c>
      <c r="H31" s="16" t="str">
        <f t="shared" si="6"/>
        <v>=</v>
      </c>
      <c r="I31" s="16">
        <f t="shared" si="6"/>
        <v>1</v>
      </c>
      <c r="J31" s="20" t="s">
        <v>26</v>
      </c>
      <c r="K31" s="22" t="str">
        <f>G31</f>
        <v>C</v>
      </c>
      <c r="L31" s="22" t="s">
        <v>14</v>
      </c>
      <c r="M31" s="23">
        <f>I31-E31</f>
        <v>-6.0094180053537922</v>
      </c>
      <c r="N31" s="9"/>
      <c r="O31" s="9"/>
      <c r="P31" s="9"/>
      <c r="Q31" s="9"/>
      <c r="R31" s="9"/>
      <c r="S31" s="9"/>
      <c r="T31" s="9"/>
      <c r="U31" s="9"/>
      <c r="V31" s="9"/>
      <c r="W31" s="6"/>
      <c r="X31" s="6"/>
      <c r="Y31" s="6"/>
    </row>
    <row r="32" spans="1:25" ht="3" customHeight="1" x14ac:dyDescent="0.3">
      <c r="A32" s="6"/>
      <c r="B32" s="6"/>
      <c r="C32" s="6"/>
      <c r="D32" s="6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6"/>
      <c r="Y32" s="6"/>
    </row>
    <row r="33" spans="1:25" x14ac:dyDescent="0.3">
      <c r="A33" s="6"/>
      <c r="B33" s="6"/>
      <c r="C33" s="6"/>
      <c r="D33" s="10" t="s">
        <v>32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6"/>
      <c r="Y33" s="6"/>
    </row>
    <row r="34" spans="1:25" ht="3" customHeight="1" x14ac:dyDescent="0.3">
      <c r="A34" s="6"/>
      <c r="B34" s="6"/>
      <c r="C34" s="6"/>
      <c r="D34" s="6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6"/>
      <c r="Y34" s="6"/>
    </row>
    <row r="35" spans="1:25" ht="15.6" x14ac:dyDescent="0.3">
      <c r="A35" s="6"/>
      <c r="B35" s="6"/>
      <c r="C35" s="6"/>
      <c r="D35" s="44" t="str">
        <f>D10</f>
        <v>U(h) =</v>
      </c>
      <c r="E35" s="25">
        <f>F25</f>
        <v>24</v>
      </c>
      <c r="F35" s="44" t="str">
        <f>G25</f>
        <v>.</v>
      </c>
      <c r="G35" s="44" t="str">
        <f>H25</f>
        <v>(</v>
      </c>
      <c r="H35" s="44">
        <f t="shared" ref="H35:S35" si="7">I25</f>
        <v>2</v>
      </c>
      <c r="I35" s="44" t="str">
        <f t="shared" si="7"/>
        <v>.</v>
      </c>
      <c r="J35" s="44" t="str">
        <f t="shared" si="7"/>
        <v>h</v>
      </c>
      <c r="K35" s="44" t="str">
        <f t="shared" si="7"/>
        <v>+</v>
      </c>
      <c r="L35" s="44">
        <f t="shared" si="7"/>
        <v>5</v>
      </c>
      <c r="M35" s="44" t="str">
        <f t="shared" si="7"/>
        <v>)</v>
      </c>
      <c r="N35" s="44" t="str">
        <f t="shared" si="7"/>
        <v>^</v>
      </c>
      <c r="O35" s="44" t="str">
        <f t="shared" si="7"/>
        <v>(</v>
      </c>
      <c r="P35" s="44">
        <f t="shared" si="7"/>
        <v>7</v>
      </c>
      <c r="Q35" s="44" t="str">
        <f t="shared" si="7"/>
        <v>/</v>
      </c>
      <c r="R35" s="44">
        <f t="shared" si="7"/>
        <v>8</v>
      </c>
      <c r="S35" s="44" t="str">
        <f t="shared" si="7"/>
        <v>)</v>
      </c>
      <c r="T35" s="44" t="s">
        <v>33</v>
      </c>
      <c r="U35" s="43">
        <f>-M31</f>
        <v>6.0094180053537922</v>
      </c>
      <c r="V35" s="9"/>
      <c r="W35" s="9"/>
      <c r="X35" s="6"/>
      <c r="Y35" s="6"/>
    </row>
    <row r="36" spans="1:25" ht="15.6" x14ac:dyDescent="0.3">
      <c r="A36" s="6"/>
      <c r="B36" s="6"/>
      <c r="C36" s="6"/>
      <c r="D36" s="44"/>
      <c r="E36" s="27">
        <f>F26</f>
        <v>14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3"/>
      <c r="V36" s="9"/>
      <c r="W36" s="9"/>
      <c r="X36" s="6"/>
      <c r="Y36" s="6"/>
    </row>
    <row r="37" spans="1:25" x14ac:dyDescent="0.3">
      <c r="A37" s="6"/>
      <c r="B37" s="6"/>
      <c r="C37" s="6"/>
      <c r="D37" s="35" t="s">
        <v>34</v>
      </c>
      <c r="E37" s="35"/>
      <c r="F37" s="35"/>
      <c r="G37" s="35"/>
      <c r="H37" s="35"/>
      <c r="I37" s="35"/>
      <c r="J37" s="35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6"/>
      <c r="Y37" s="6"/>
    </row>
    <row r="38" spans="1:25" x14ac:dyDescent="0.3">
      <c r="A38" s="6"/>
      <c r="B38" s="6"/>
      <c r="C38" s="6"/>
      <c r="D38" s="6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6"/>
      <c r="Y38" s="6"/>
    </row>
    <row r="39" spans="1:25" ht="15.6" x14ac:dyDescent="0.3">
      <c r="A39" s="6"/>
      <c r="B39" s="7" t="s">
        <v>35</v>
      </c>
      <c r="C39" s="6"/>
      <c r="D39" s="46" t="s">
        <v>38</v>
      </c>
      <c r="E39" s="28">
        <f>E35</f>
        <v>24</v>
      </c>
      <c r="F39" s="46" t="str">
        <f>F35</f>
        <v>.</v>
      </c>
      <c r="G39" s="46" t="str">
        <f t="shared" ref="G39:U39" si="8">G35</f>
        <v>(</v>
      </c>
      <c r="H39" s="46">
        <f t="shared" si="8"/>
        <v>2</v>
      </c>
      <c r="I39" s="49" t="s">
        <v>37</v>
      </c>
      <c r="J39" s="46">
        <v>24</v>
      </c>
      <c r="K39" s="46" t="str">
        <f t="shared" si="8"/>
        <v>+</v>
      </c>
      <c r="L39" s="46">
        <f t="shared" si="8"/>
        <v>5</v>
      </c>
      <c r="M39" s="46" t="str">
        <f t="shared" si="8"/>
        <v>)</v>
      </c>
      <c r="N39" s="46" t="str">
        <f t="shared" si="8"/>
        <v>^</v>
      </c>
      <c r="O39" s="46" t="str">
        <f t="shared" si="8"/>
        <v>(</v>
      </c>
      <c r="P39" s="46">
        <f t="shared" si="8"/>
        <v>7</v>
      </c>
      <c r="Q39" s="46" t="str">
        <f t="shared" si="8"/>
        <v>/</v>
      </c>
      <c r="R39" s="46">
        <f t="shared" si="8"/>
        <v>8</v>
      </c>
      <c r="S39" s="46" t="str">
        <f t="shared" si="8"/>
        <v>)</v>
      </c>
      <c r="T39" s="46" t="str">
        <f t="shared" si="8"/>
        <v>-</v>
      </c>
      <c r="U39" s="45">
        <f t="shared" si="8"/>
        <v>6.0094180053537922</v>
      </c>
      <c r="V39" s="46" t="s">
        <v>14</v>
      </c>
      <c r="W39" s="9"/>
      <c r="X39" s="6"/>
      <c r="Y39" s="6"/>
    </row>
    <row r="40" spans="1:25" x14ac:dyDescent="0.3">
      <c r="A40" s="6"/>
      <c r="B40" s="6"/>
      <c r="C40" s="6"/>
      <c r="D40" s="46"/>
      <c r="E40" s="29">
        <f>E36</f>
        <v>14</v>
      </c>
      <c r="F40" s="46"/>
      <c r="G40" s="46"/>
      <c r="H40" s="46"/>
      <c r="I40" s="49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5"/>
      <c r="V40" s="46"/>
      <c r="W40" s="9"/>
      <c r="X40" s="6"/>
      <c r="Y40" s="6"/>
    </row>
    <row r="41" spans="1:25" ht="3.6" customHeight="1" x14ac:dyDescent="0.3">
      <c r="A41" s="6"/>
      <c r="B41" s="6"/>
      <c r="C41" s="6"/>
      <c r="D41" s="30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9"/>
      <c r="X41" s="6"/>
      <c r="Y41" s="6"/>
    </row>
    <row r="42" spans="1:25" x14ac:dyDescent="0.3">
      <c r="A42" s="6"/>
      <c r="B42" s="6"/>
      <c r="C42" s="6"/>
      <c r="D42" s="29" t="s">
        <v>14</v>
      </c>
      <c r="E42" s="32">
        <f>(E39/E40)*((H39*J39+L39)^(P39/R39))+M31</f>
        <v>49.303248060866835</v>
      </c>
      <c r="F42" s="33" t="s">
        <v>39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9"/>
      <c r="X42" s="6"/>
      <c r="Y42" s="6"/>
    </row>
    <row r="43" spans="1:25" ht="4.2" customHeight="1" x14ac:dyDescent="0.3">
      <c r="A43" s="6"/>
      <c r="B43" s="6"/>
      <c r="C43" s="6"/>
      <c r="D43" s="6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6"/>
      <c r="Y43" s="6"/>
    </row>
    <row r="44" spans="1:25" ht="15.6" x14ac:dyDescent="0.3">
      <c r="A44" s="6"/>
      <c r="B44" s="6"/>
      <c r="C44" s="6"/>
      <c r="D44" s="10" t="s">
        <v>32</v>
      </c>
      <c r="E44" s="24" t="s">
        <v>36</v>
      </c>
      <c r="F44" s="26">
        <f>E42</f>
        <v>49.303248060866835</v>
      </c>
      <c r="G44" s="34" t="str">
        <f>F42</f>
        <v>%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6"/>
      <c r="Y44" s="6"/>
    </row>
    <row r="45" spans="1:25" x14ac:dyDescent="0.3">
      <c r="A45" s="6"/>
      <c r="B45" s="6"/>
      <c r="C45" s="6"/>
      <c r="D45" s="6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6"/>
      <c r="Y45" s="6"/>
    </row>
    <row r="46" spans="1:25" x14ac:dyDescent="0.3">
      <c r="A46" s="6"/>
      <c r="B46" s="6"/>
      <c r="C46" s="6"/>
      <c r="D46" s="6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6"/>
      <c r="Y46" s="6"/>
    </row>
    <row r="47" spans="1:25" x14ac:dyDescent="0.3">
      <c r="A47" s="6"/>
      <c r="B47" s="6"/>
      <c r="C47" s="6"/>
      <c r="D47" s="6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6"/>
      <c r="Y47" s="6"/>
    </row>
    <row r="48" spans="1:25" x14ac:dyDescent="0.3">
      <c r="A48" s="6"/>
      <c r="B48" s="6"/>
      <c r="C48" s="6"/>
      <c r="D48" s="6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6"/>
      <c r="Y48" s="6"/>
    </row>
    <row r="49" spans="1:25" x14ac:dyDescent="0.3">
      <c r="A49" s="6"/>
      <c r="B49" s="6"/>
      <c r="C49" s="6"/>
      <c r="D49" s="6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6"/>
      <c r="Y49" s="6"/>
    </row>
    <row r="50" spans="1:25" x14ac:dyDescent="0.3">
      <c r="A50" s="6"/>
      <c r="B50" s="6"/>
      <c r="C50" s="6"/>
      <c r="D50" s="6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6"/>
      <c r="Y50" s="6"/>
    </row>
    <row r="51" spans="1:25" x14ac:dyDescent="0.3">
      <c r="A51" s="6"/>
      <c r="B51" s="6"/>
      <c r="C51" s="6"/>
      <c r="D51" s="6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6"/>
      <c r="Y51" s="6"/>
    </row>
    <row r="52" spans="1:25" x14ac:dyDescent="0.3">
      <c r="A52" s="6"/>
      <c r="B52" s="6"/>
      <c r="C52" s="6"/>
      <c r="D52" s="6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6"/>
      <c r="Y52" s="6"/>
    </row>
    <row r="53" spans="1:25" x14ac:dyDescent="0.3">
      <c r="Y53" s="6"/>
    </row>
    <row r="54" spans="1:25" x14ac:dyDescent="0.3">
      <c r="Y54" s="6"/>
    </row>
    <row r="55" spans="1:25" x14ac:dyDescent="0.3">
      <c r="Y55" s="6"/>
    </row>
    <row r="56" spans="1:25" x14ac:dyDescent="0.3">
      <c r="Y56" s="6"/>
    </row>
    <row r="57" spans="1:25" x14ac:dyDescent="0.3">
      <c r="Y57" s="6"/>
    </row>
    <row r="58" spans="1:25" x14ac:dyDescent="0.3">
      <c r="Y58" s="6"/>
    </row>
    <row r="59" spans="1:25" x14ac:dyDescent="0.3">
      <c r="Y59" s="6"/>
    </row>
    <row r="60" spans="1:25" x14ac:dyDescent="0.3">
      <c r="Y60" s="6"/>
    </row>
    <row r="61" spans="1:25" x14ac:dyDescent="0.3">
      <c r="Y61" s="6"/>
    </row>
    <row r="62" spans="1:25" x14ac:dyDescent="0.3">
      <c r="Y62" s="6"/>
    </row>
  </sheetData>
  <sheetProtection algorithmName="SHA-512" hashValue="GVmjDyQRq0dpSvXBsL8oi3WHf+OOu2dAHEvPiiriWjKB3S9X6Fm8IfWYUTomCE6xf/aQDjMeLjKP5pD8Vo0rEg==" saltValue="3maQbpBQSbqqySCtMFqjTg==" spinCount="100000" sheet="1" objects="1" scenarios="1" formatCells="0" formatColumns="0" formatRows="0"/>
  <mergeCells count="138">
    <mergeCell ref="U39:U40"/>
    <mergeCell ref="V39:V40"/>
    <mergeCell ref="B8:X8"/>
    <mergeCell ref="B1:C1"/>
    <mergeCell ref="D28:D29"/>
    <mergeCell ref="E28:E29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H28:H29"/>
    <mergeCell ref="D35:D36"/>
    <mergeCell ref="D39:D40"/>
    <mergeCell ref="F39:F40"/>
    <mergeCell ref="G39:G40"/>
    <mergeCell ref="H39:H40"/>
    <mergeCell ref="G35:G36"/>
    <mergeCell ref="F35:F36"/>
    <mergeCell ref="S28:S29"/>
    <mergeCell ref="R28:R29"/>
    <mergeCell ref="Q28:Q29"/>
    <mergeCell ref="P28:P29"/>
    <mergeCell ref="O28:O29"/>
    <mergeCell ref="P35:P36"/>
    <mergeCell ref="O35:O36"/>
    <mergeCell ref="N35:N36"/>
    <mergeCell ref="M35:M36"/>
    <mergeCell ref="L35:L36"/>
    <mergeCell ref="K35:K36"/>
    <mergeCell ref="N28:N29"/>
    <mergeCell ref="M28:M29"/>
    <mergeCell ref="L28:L29"/>
    <mergeCell ref="K28:K29"/>
    <mergeCell ref="J28:J29"/>
    <mergeCell ref="I28:I29"/>
    <mergeCell ref="J35:J36"/>
    <mergeCell ref="I35:I36"/>
    <mergeCell ref="H35:H36"/>
    <mergeCell ref="V25:V26"/>
    <mergeCell ref="W25:W26"/>
    <mergeCell ref="D25:D26"/>
    <mergeCell ref="U35:U36"/>
    <mergeCell ref="T35:T36"/>
    <mergeCell ref="S35:S36"/>
    <mergeCell ref="R35:R36"/>
    <mergeCell ref="Q35:Q36"/>
    <mergeCell ref="F16:F17"/>
    <mergeCell ref="F22:F23"/>
    <mergeCell ref="G25:G26"/>
    <mergeCell ref="P25:P26"/>
    <mergeCell ref="T25:T26"/>
    <mergeCell ref="U25:U26"/>
    <mergeCell ref="M25:M26"/>
    <mergeCell ref="N25:N26"/>
    <mergeCell ref="O25:O26"/>
    <mergeCell ref="Q25:Q26"/>
    <mergeCell ref="R25:R26"/>
    <mergeCell ref="S25:S26"/>
    <mergeCell ref="E25:E26"/>
    <mergeCell ref="H25:H26"/>
    <mergeCell ref="I25:I26"/>
    <mergeCell ref="J25:J26"/>
    <mergeCell ref="K25:K26"/>
    <mergeCell ref="L25:L26"/>
    <mergeCell ref="M22:M23"/>
    <mergeCell ref="N22:N23"/>
    <mergeCell ref="P22:P23"/>
    <mergeCell ref="Q22:Q23"/>
    <mergeCell ref="R22:R23"/>
    <mergeCell ref="N19:N20"/>
    <mergeCell ref="O19:O20"/>
    <mergeCell ref="M19:M20"/>
    <mergeCell ref="D22:D23"/>
    <mergeCell ref="G22:G23"/>
    <mergeCell ref="H22:H23"/>
    <mergeCell ref="I22:I23"/>
    <mergeCell ref="J22:J23"/>
    <mergeCell ref="K22:K23"/>
    <mergeCell ref="L22:L23"/>
    <mergeCell ref="H19:H20"/>
    <mergeCell ref="I19:I20"/>
    <mergeCell ref="J19:J20"/>
    <mergeCell ref="K19:K20"/>
    <mergeCell ref="L19:L20"/>
    <mergeCell ref="D19:D20"/>
    <mergeCell ref="F19:F20"/>
    <mergeCell ref="G19:G20"/>
    <mergeCell ref="H16:H17"/>
    <mergeCell ref="G16:G17"/>
    <mergeCell ref="T10:T11"/>
    <mergeCell ref="U10:U11"/>
    <mergeCell ref="J16:J17"/>
    <mergeCell ref="U16:U17"/>
    <mergeCell ref="S16:S17"/>
    <mergeCell ref="R16:R17"/>
    <mergeCell ref="Q16:Q17"/>
    <mergeCell ref="P16:P17"/>
    <mergeCell ref="L16:L17"/>
    <mergeCell ref="S13:S14"/>
    <mergeCell ref="Q13:Q14"/>
    <mergeCell ref="R13:R14"/>
    <mergeCell ref="P13:P14"/>
    <mergeCell ref="K13:K14"/>
    <mergeCell ref="M13:M14"/>
    <mergeCell ref="L13:L14"/>
    <mergeCell ref="J13:J14"/>
    <mergeCell ref="D37:J37"/>
    <mergeCell ref="I13:I14"/>
    <mergeCell ref="G13:G14"/>
    <mergeCell ref="X13:X14"/>
    <mergeCell ref="D13:D14"/>
    <mergeCell ref="F13:F14"/>
    <mergeCell ref="H13:H14"/>
    <mergeCell ref="V13:V14"/>
    <mergeCell ref="E10:E11"/>
    <mergeCell ref="D10:D11"/>
    <mergeCell ref="F10:S10"/>
    <mergeCell ref="E13:E14"/>
    <mergeCell ref="W13:W14"/>
    <mergeCell ref="U13:U14"/>
    <mergeCell ref="T13:T14"/>
    <mergeCell ref="O13:O14"/>
    <mergeCell ref="N13:N14"/>
    <mergeCell ref="D16:D17"/>
    <mergeCell ref="E16:E17"/>
    <mergeCell ref="T16:T17"/>
    <mergeCell ref="M16:M17"/>
    <mergeCell ref="N16:N17"/>
    <mergeCell ref="K16:K17"/>
    <mergeCell ref="I16:I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0AA8-A256-4156-83EF-1C11697F1163}">
  <dimension ref="A1:BJ77"/>
  <sheetViews>
    <sheetView zoomScale="66" zoomScaleNormal="66" workbookViewId="0">
      <selection activeCell="AY9" sqref="AY9"/>
    </sheetView>
  </sheetViews>
  <sheetFormatPr defaultColWidth="8.88671875" defaultRowHeight="14.4" x14ac:dyDescent="0.3"/>
  <cols>
    <col min="1" max="1" width="1.21875" style="50" customWidth="1"/>
    <col min="2" max="2" width="1.88671875" style="53" customWidth="1"/>
    <col min="3" max="3" width="2.88671875" style="53" bestFit="1" customWidth="1"/>
    <col min="4" max="4" width="4.6640625" style="53" bestFit="1" customWidth="1"/>
    <col min="5" max="5" width="7.6640625" style="53" bestFit="1" customWidth="1"/>
    <col min="6" max="6" width="8.33203125" style="53" bestFit="1" customWidth="1"/>
    <col min="7" max="7" width="8.77734375" style="53" bestFit="1" customWidth="1"/>
    <col min="8" max="8" width="5" style="53" bestFit="1" customWidth="1"/>
    <col min="9" max="9" width="7.5546875" style="53" bestFit="1" customWidth="1"/>
    <col min="10" max="10" width="4.33203125" style="53" bestFit="1" customWidth="1"/>
    <col min="11" max="11" width="7.33203125" style="53" bestFit="1" customWidth="1"/>
    <col min="12" max="12" width="8.33203125" style="53" bestFit="1" customWidth="1"/>
    <col min="13" max="13" width="4" style="53" bestFit="1" customWidth="1"/>
    <col min="14" max="14" width="5" style="53" bestFit="1" customWidth="1"/>
    <col min="15" max="15" width="8.33203125" style="53" bestFit="1" customWidth="1"/>
    <col min="16" max="17" width="7.5546875" style="53" bestFit="1" customWidth="1"/>
    <col min="18" max="18" width="8.33203125" style="53" bestFit="1" customWidth="1"/>
    <col min="19" max="19" width="8.77734375" style="53" bestFit="1" customWidth="1"/>
    <col min="20" max="20" width="4" style="53" bestFit="1" customWidth="1"/>
    <col min="21" max="21" width="2.77734375" style="53" bestFit="1" customWidth="1"/>
    <col min="22" max="22" width="3" style="53" bestFit="1" customWidth="1"/>
    <col min="23" max="23" width="2.109375" style="53" customWidth="1"/>
    <col min="24" max="24" width="0.88671875" style="50" customWidth="1"/>
    <col min="25" max="25" width="1.88671875" style="53" customWidth="1"/>
    <col min="26" max="26" width="2.88671875" style="53" bestFit="1" customWidth="1"/>
    <col min="27" max="27" width="4.5546875" style="53" bestFit="1" customWidth="1"/>
    <col min="28" max="28" width="7.6640625" style="53" bestFit="1" customWidth="1"/>
    <col min="29" max="29" width="6" style="53" bestFit="1" customWidth="1"/>
    <col min="30" max="32" width="5.44140625" style="53" bestFit="1" customWidth="1"/>
    <col min="33" max="33" width="6" style="53" bestFit="1" customWidth="1"/>
    <col min="34" max="34" width="6.6640625" style="53" bestFit="1" customWidth="1"/>
    <col min="35" max="35" width="3.21875" style="53" bestFit="1" customWidth="1"/>
    <col min="36" max="36" width="6" style="53" bestFit="1" customWidth="1"/>
    <col min="37" max="37" width="4.5546875" style="53" bestFit="1" customWidth="1"/>
    <col min="38" max="38" width="7.77734375" style="53" bestFit="1" customWidth="1"/>
    <col min="39" max="39" width="6" style="53" bestFit="1" customWidth="1"/>
    <col min="40" max="40" width="3" style="53" bestFit="1" customWidth="1"/>
    <col min="41" max="41" width="5.6640625" style="53" bestFit="1" customWidth="1"/>
    <col min="42" max="42" width="5.44140625" style="53" bestFit="1" customWidth="1"/>
    <col min="43" max="43" width="3" style="53" bestFit="1" customWidth="1"/>
    <col min="44" max="44" width="1.5546875" style="53" bestFit="1" customWidth="1"/>
    <col min="45" max="45" width="8.88671875" style="53"/>
    <col min="46" max="46" width="2.77734375" style="53" bestFit="1" customWidth="1"/>
    <col min="47" max="47" width="3" style="53" bestFit="1" customWidth="1"/>
    <col min="48" max="48" width="2" style="53" bestFit="1" customWidth="1"/>
    <col min="49" max="49" width="8.88671875" style="53"/>
    <col min="50" max="62" width="8.88671875" style="50"/>
    <col min="63" max="16384" width="8.88671875" style="53"/>
  </cols>
  <sheetData>
    <row r="1" spans="1:62" s="50" customFormat="1" x14ac:dyDescent="0.3"/>
    <row r="2" spans="1:62" x14ac:dyDescent="0.3">
      <c r="B2" s="51" t="s">
        <v>40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Y2" s="52" t="s">
        <v>69</v>
      </c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</row>
    <row r="3" spans="1:62" x14ac:dyDescent="0.3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</row>
    <row r="4" spans="1:62" ht="15.6" customHeight="1" x14ac:dyDescent="0.3">
      <c r="B4" s="54"/>
      <c r="C4" s="55" t="s">
        <v>28</v>
      </c>
      <c r="D4" s="56" t="s">
        <v>29</v>
      </c>
      <c r="E4" s="57" t="s">
        <v>9</v>
      </c>
      <c r="F4" s="58" t="s">
        <v>41</v>
      </c>
      <c r="G4" s="59">
        <v>30</v>
      </c>
      <c r="H4" s="59" t="s">
        <v>22</v>
      </c>
      <c r="I4" s="60" t="s">
        <v>18</v>
      </c>
      <c r="J4" s="60">
        <f>10*'QUESTÃO 1'!$F$2+20*'QUESTÃO 1'!$F$6</f>
        <v>180</v>
      </c>
      <c r="K4" s="59"/>
      <c r="L4" s="57" t="s">
        <v>13</v>
      </c>
      <c r="M4" s="57" t="s">
        <v>14</v>
      </c>
      <c r="N4" s="54"/>
      <c r="O4" s="54"/>
      <c r="P4" s="54"/>
      <c r="Q4" s="54"/>
      <c r="R4" s="54"/>
      <c r="S4" s="54"/>
      <c r="T4" s="54"/>
      <c r="U4" s="54"/>
      <c r="V4" s="54"/>
      <c r="W4" s="54"/>
      <c r="Y4" s="54"/>
      <c r="Z4" s="55" t="s">
        <v>28</v>
      </c>
      <c r="AA4" s="56" t="s">
        <v>29</v>
      </c>
      <c r="AB4" s="57" t="s">
        <v>9</v>
      </c>
      <c r="AC4" s="58" t="s">
        <v>41</v>
      </c>
      <c r="AD4" s="59">
        <v>30</v>
      </c>
      <c r="AE4" s="59" t="s">
        <v>22</v>
      </c>
      <c r="AF4" s="60" t="s">
        <v>18</v>
      </c>
      <c r="AG4" s="60">
        <f>10*'QUESTÃO 1'!$F$2+20*'QUESTÃO 1'!$F$6</f>
        <v>180</v>
      </c>
      <c r="AH4" s="59"/>
      <c r="AI4" s="57" t="s">
        <v>13</v>
      </c>
      <c r="AJ4" s="57" t="s">
        <v>14</v>
      </c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</row>
    <row r="5" spans="1:62" ht="14.4" customHeight="1" x14ac:dyDescent="0.3">
      <c r="B5" s="54"/>
      <c r="C5" s="54"/>
      <c r="D5" s="54"/>
      <c r="E5" s="57"/>
      <c r="F5" s="61"/>
      <c r="G5" s="62" t="s">
        <v>42</v>
      </c>
      <c r="H5" s="63">
        <f>'QUESTÃO 1'!$F$2+'QUESTÃO 1'!$F$6</f>
        <v>10</v>
      </c>
      <c r="I5" s="63" t="s">
        <v>22</v>
      </c>
      <c r="J5" s="62" t="s">
        <v>18</v>
      </c>
      <c r="K5" s="62">
        <f>'QUESTÃO 1'!$F$2*'QUESTÃO 1'!$F$6</f>
        <v>16</v>
      </c>
      <c r="L5" s="57"/>
      <c r="M5" s="57"/>
      <c r="N5" s="54"/>
      <c r="O5" s="54"/>
      <c r="P5" s="54"/>
      <c r="Q5" s="54"/>
      <c r="R5" s="54"/>
      <c r="S5" s="54"/>
      <c r="T5" s="54"/>
      <c r="U5" s="54"/>
      <c r="V5" s="54"/>
      <c r="W5" s="54"/>
      <c r="Y5" s="54"/>
      <c r="Z5" s="54"/>
      <c r="AA5" s="54"/>
      <c r="AB5" s="57"/>
      <c r="AC5" s="61"/>
      <c r="AD5" s="62" t="s">
        <v>42</v>
      </c>
      <c r="AE5" s="63">
        <f>'QUESTÃO 1'!$F$2+'QUESTÃO 1'!$F$6</f>
        <v>10</v>
      </c>
      <c r="AF5" s="63" t="s">
        <v>22</v>
      </c>
      <c r="AG5" s="62" t="s">
        <v>18</v>
      </c>
      <c r="AH5" s="62">
        <f>'QUESTÃO 1'!$F$2*'QUESTÃO 1'!$F$6</f>
        <v>16</v>
      </c>
      <c r="AI5" s="57"/>
      <c r="AJ5" s="57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</row>
    <row r="6" spans="1:62" x14ac:dyDescent="0.3"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</row>
    <row r="7" spans="1:62" s="70" customFormat="1" x14ac:dyDescent="0.3">
      <c r="A7" s="64"/>
      <c r="B7" s="65"/>
      <c r="C7" s="65"/>
      <c r="D7" s="65"/>
      <c r="E7" s="66" t="str">
        <f>G5</f>
        <v xml:space="preserve">h²   + </v>
      </c>
      <c r="F7" s="67">
        <f t="shared" ref="F7:I7" si="0">H5</f>
        <v>10</v>
      </c>
      <c r="G7" s="67" t="str">
        <f t="shared" si="0"/>
        <v>h</v>
      </c>
      <c r="H7" s="67" t="str">
        <f t="shared" si="0"/>
        <v>+</v>
      </c>
      <c r="I7" s="67">
        <f t="shared" si="0"/>
        <v>16</v>
      </c>
      <c r="J7" s="66" t="s">
        <v>14</v>
      </c>
      <c r="K7" s="68">
        <v>0</v>
      </c>
      <c r="L7" s="69" t="s">
        <v>26</v>
      </c>
      <c r="M7" s="66" t="s">
        <v>43</v>
      </c>
      <c r="N7" s="66">
        <f>-'QUESTÃO 1'!$F$2</f>
        <v>-2</v>
      </c>
      <c r="O7" s="67" t="s">
        <v>46</v>
      </c>
      <c r="P7" s="66">
        <f>-'QUESTÃO 1'!$F$6</f>
        <v>-8</v>
      </c>
      <c r="Q7" s="65"/>
      <c r="R7" s="65"/>
      <c r="S7" s="65"/>
      <c r="T7" s="65"/>
      <c r="U7" s="65"/>
      <c r="V7" s="65"/>
      <c r="W7" s="65"/>
      <c r="X7" s="64"/>
      <c r="Y7" s="65"/>
      <c r="Z7" s="65"/>
      <c r="AA7" s="65"/>
      <c r="AB7" s="66" t="str">
        <f>AD5</f>
        <v xml:space="preserve">h²   + </v>
      </c>
      <c r="AC7" s="67">
        <f t="shared" ref="AC7" si="1">AE5</f>
        <v>10</v>
      </c>
      <c r="AD7" s="67" t="str">
        <f t="shared" ref="AD7" si="2">AF5</f>
        <v>h</v>
      </c>
      <c r="AE7" s="67" t="str">
        <f t="shared" ref="AE7" si="3">AG5</f>
        <v>+</v>
      </c>
      <c r="AF7" s="67">
        <f t="shared" ref="AF7" si="4">AH5</f>
        <v>16</v>
      </c>
      <c r="AG7" s="66" t="s">
        <v>14</v>
      </c>
      <c r="AH7" s="68">
        <v>0</v>
      </c>
      <c r="AI7" s="69" t="s">
        <v>26</v>
      </c>
      <c r="AJ7" s="66" t="s">
        <v>43</v>
      </c>
      <c r="AK7" s="66">
        <f>-'QUESTÃO 1'!$F$2</f>
        <v>-2</v>
      </c>
      <c r="AL7" s="67" t="s">
        <v>46</v>
      </c>
      <c r="AM7" s="66">
        <f>-'QUESTÃO 1'!$F$6</f>
        <v>-8</v>
      </c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</row>
    <row r="8" spans="1:62" x14ac:dyDescent="0.3"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</row>
    <row r="9" spans="1:62" x14ac:dyDescent="0.3">
      <c r="B9" s="54"/>
      <c r="C9" s="54"/>
      <c r="D9" s="54"/>
      <c r="E9" s="71" t="s">
        <v>44</v>
      </c>
      <c r="F9" s="63"/>
      <c r="G9" s="63" t="s">
        <v>47</v>
      </c>
      <c r="H9" s="62">
        <f>-N7</f>
        <v>2</v>
      </c>
      <c r="I9" s="63" t="s">
        <v>45</v>
      </c>
      <c r="J9" s="63" t="s">
        <v>48</v>
      </c>
      <c r="K9" s="63">
        <f>-P7</f>
        <v>8</v>
      </c>
      <c r="L9" s="63" t="s">
        <v>12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Y9" s="54"/>
      <c r="Z9" s="54"/>
      <c r="AA9" s="54"/>
      <c r="AB9" s="71" t="s">
        <v>44</v>
      </c>
      <c r="AC9" s="63"/>
      <c r="AD9" s="63" t="s">
        <v>47</v>
      </c>
      <c r="AE9" s="62">
        <f>-AK7</f>
        <v>2</v>
      </c>
      <c r="AF9" s="63" t="s">
        <v>45</v>
      </c>
      <c r="AG9" s="63" t="s">
        <v>48</v>
      </c>
      <c r="AH9" s="63">
        <f>-AM7</f>
        <v>8</v>
      </c>
      <c r="AI9" s="63" t="s">
        <v>12</v>
      </c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</row>
    <row r="10" spans="1:62" x14ac:dyDescent="0.3"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Y10" s="54"/>
      <c r="Z10" s="54"/>
      <c r="AA10" s="54"/>
      <c r="AB10" s="72" t="s">
        <v>59</v>
      </c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</row>
    <row r="11" spans="1:62" x14ac:dyDescent="0.3">
      <c r="B11" s="54"/>
      <c r="C11" s="54"/>
      <c r="D11" s="54"/>
      <c r="E11" s="59">
        <f>G4</f>
        <v>30</v>
      </c>
      <c r="F11" s="59" t="str">
        <f t="shared" ref="F11:H11" si="5">H4</f>
        <v>h</v>
      </c>
      <c r="G11" s="59" t="str">
        <f t="shared" si="5"/>
        <v>+</v>
      </c>
      <c r="H11" s="59">
        <f t="shared" si="5"/>
        <v>180</v>
      </c>
      <c r="I11" s="59"/>
      <c r="J11" s="57" t="str">
        <f>M4</f>
        <v>=</v>
      </c>
      <c r="K11" s="73" t="s">
        <v>49</v>
      </c>
      <c r="L11" s="73"/>
      <c r="M11" s="66" t="s">
        <v>18</v>
      </c>
      <c r="N11" s="73" t="s">
        <v>50</v>
      </c>
      <c r="O11" s="73"/>
      <c r="P11" s="57" t="s">
        <v>14</v>
      </c>
      <c r="Q11" s="59" t="s">
        <v>51</v>
      </c>
      <c r="R11" s="59">
        <f>O12</f>
        <v>8</v>
      </c>
      <c r="S11" s="59" t="s">
        <v>56</v>
      </c>
      <c r="T11" s="60">
        <f>L12</f>
        <v>2</v>
      </c>
      <c r="U11" s="59" t="s">
        <v>12</v>
      </c>
      <c r="V11" s="74" t="s">
        <v>26</v>
      </c>
      <c r="W11" s="54"/>
      <c r="Y11" s="54"/>
      <c r="Z11" s="54"/>
      <c r="AA11" s="54"/>
      <c r="AB11" s="75" t="str">
        <f>AB4</f>
        <v>U(h) =</v>
      </c>
      <c r="AC11" s="58" t="s">
        <v>41</v>
      </c>
      <c r="AD11" s="59">
        <f t="shared" ref="AD11:AG12" si="6">AD4</f>
        <v>30</v>
      </c>
      <c r="AE11" s="59" t="str">
        <f t="shared" si="6"/>
        <v>h</v>
      </c>
      <c r="AF11" s="59" t="str">
        <f t="shared" si="6"/>
        <v>+</v>
      </c>
      <c r="AG11" s="59">
        <f t="shared" si="6"/>
        <v>180</v>
      </c>
      <c r="AH11" s="59"/>
      <c r="AI11" s="57" t="str">
        <f>AI4</f>
        <v>dh</v>
      </c>
      <c r="AJ11" s="57" t="str">
        <f>AJ4</f>
        <v>=</v>
      </c>
      <c r="AK11" s="58" t="s">
        <v>41</v>
      </c>
      <c r="AL11" s="76" t="s">
        <v>11</v>
      </c>
      <c r="AM11" s="59">
        <f>AD11</f>
        <v>30</v>
      </c>
      <c r="AN11" s="59" t="s">
        <v>64</v>
      </c>
      <c r="AO11" s="59" t="s">
        <v>65</v>
      </c>
      <c r="AP11" s="77">
        <f>AG11/AM11</f>
        <v>6</v>
      </c>
      <c r="AQ11" s="60" t="s">
        <v>12</v>
      </c>
      <c r="AR11" s="59"/>
      <c r="AS11" s="63"/>
      <c r="AT11" s="76" t="s">
        <v>12</v>
      </c>
      <c r="AU11" s="78" t="s">
        <v>13</v>
      </c>
      <c r="AV11" s="57" t="s">
        <v>14</v>
      </c>
      <c r="AW11" s="54"/>
    </row>
    <row r="12" spans="1:62" x14ac:dyDescent="0.3">
      <c r="B12" s="54"/>
      <c r="C12" s="54"/>
      <c r="D12" s="54"/>
      <c r="E12" s="63" t="str">
        <f>G5</f>
        <v xml:space="preserve">h²   + </v>
      </c>
      <c r="F12" s="63">
        <f t="shared" ref="F12:I12" si="7">H5</f>
        <v>10</v>
      </c>
      <c r="G12" s="63" t="str">
        <f t="shared" si="7"/>
        <v>h</v>
      </c>
      <c r="H12" s="63" t="str">
        <f t="shared" si="7"/>
        <v>+</v>
      </c>
      <c r="I12" s="63">
        <f t="shared" si="7"/>
        <v>16</v>
      </c>
      <c r="J12" s="57"/>
      <c r="K12" s="63" t="s">
        <v>48</v>
      </c>
      <c r="L12" s="63">
        <f>H9</f>
        <v>2</v>
      </c>
      <c r="M12" s="63"/>
      <c r="N12" s="63" t="str">
        <f>K12</f>
        <v>h   +</v>
      </c>
      <c r="O12" s="62">
        <f>K9</f>
        <v>8</v>
      </c>
      <c r="P12" s="57"/>
      <c r="Q12" s="63" t="str">
        <f>G5</f>
        <v xml:space="preserve">h²   + </v>
      </c>
      <c r="R12" s="63">
        <f>H5</f>
        <v>10</v>
      </c>
      <c r="S12" s="63" t="s">
        <v>48</v>
      </c>
      <c r="T12" s="63">
        <f>K5</f>
        <v>16</v>
      </c>
      <c r="U12" s="63"/>
      <c r="V12" s="75"/>
      <c r="W12" s="54"/>
      <c r="Y12" s="54"/>
      <c r="Z12" s="54"/>
      <c r="AA12" s="54"/>
      <c r="AB12" s="75"/>
      <c r="AC12" s="61"/>
      <c r="AD12" s="63" t="str">
        <f t="shared" si="6"/>
        <v xml:space="preserve">h²   + </v>
      </c>
      <c r="AE12" s="63">
        <f t="shared" si="6"/>
        <v>10</v>
      </c>
      <c r="AF12" s="63" t="str">
        <f t="shared" si="6"/>
        <v>h</v>
      </c>
      <c r="AG12" s="63" t="str">
        <f t="shared" si="6"/>
        <v>+</v>
      </c>
      <c r="AH12" s="63">
        <f>AH5</f>
        <v>16</v>
      </c>
      <c r="AI12" s="57"/>
      <c r="AJ12" s="57"/>
      <c r="AK12" s="61"/>
      <c r="AL12" s="76"/>
      <c r="AM12" s="62" t="str">
        <f>AD9</f>
        <v>( h   +</v>
      </c>
      <c r="AN12" s="62">
        <f t="shared" ref="AN12:AQ12" si="8">AE9</f>
        <v>2</v>
      </c>
      <c r="AO12" s="62" t="str">
        <f t="shared" si="8"/>
        <v>).(</v>
      </c>
      <c r="AP12" s="62" t="str">
        <f t="shared" si="8"/>
        <v>h   +</v>
      </c>
      <c r="AQ12" s="62">
        <f t="shared" si="8"/>
        <v>8</v>
      </c>
      <c r="AR12" s="62" t="str">
        <f t="shared" ref="AR12" si="9">AI9</f>
        <v>)</v>
      </c>
      <c r="AS12" s="62"/>
      <c r="AT12" s="76"/>
      <c r="AU12" s="78"/>
      <c r="AV12" s="57"/>
      <c r="AW12" s="54"/>
    </row>
    <row r="13" spans="1:62" x14ac:dyDescent="0.3"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 t="s">
        <v>52</v>
      </c>
      <c r="T13" s="54"/>
      <c r="U13" s="54"/>
      <c r="V13" s="54"/>
      <c r="W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</row>
    <row r="14" spans="1:62" x14ac:dyDescent="0.3">
      <c r="B14" s="54"/>
      <c r="C14" s="54"/>
      <c r="D14" s="54"/>
      <c r="E14" s="63" t="str">
        <f>Q11</f>
        <v>M. (h   +</v>
      </c>
      <c r="F14" s="63">
        <f t="shared" ref="F14:I14" si="10">R11</f>
        <v>8</v>
      </c>
      <c r="G14" s="63" t="str">
        <f t="shared" si="10"/>
        <v>) + N.(h  +</v>
      </c>
      <c r="H14" s="63">
        <f t="shared" si="10"/>
        <v>2</v>
      </c>
      <c r="I14" s="63" t="str">
        <f t="shared" si="10"/>
        <v>)</v>
      </c>
      <c r="J14" s="63" t="s">
        <v>14</v>
      </c>
      <c r="K14" s="63">
        <f>E11</f>
        <v>30</v>
      </c>
      <c r="L14" s="63" t="str">
        <f t="shared" ref="L14:N14" si="11">F11</f>
        <v>h</v>
      </c>
      <c r="M14" s="63" t="str">
        <f t="shared" si="11"/>
        <v>+</v>
      </c>
      <c r="N14" s="63">
        <f t="shared" si="11"/>
        <v>180</v>
      </c>
      <c r="O14" s="54"/>
      <c r="P14" s="54"/>
      <c r="Q14" s="54"/>
      <c r="R14" s="54"/>
      <c r="S14" s="54"/>
      <c r="T14" s="54"/>
      <c r="U14" s="54"/>
      <c r="V14" s="54"/>
      <c r="W14" s="54"/>
      <c r="Y14" s="54"/>
      <c r="Z14" s="79"/>
      <c r="AA14" s="79"/>
      <c r="AB14" s="57" t="s">
        <v>14</v>
      </c>
      <c r="AC14" s="58" t="s">
        <v>41</v>
      </c>
      <c r="AD14" s="80">
        <f>AD11</f>
        <v>30</v>
      </c>
      <c r="AE14" s="80"/>
      <c r="AF14" s="57" t="s">
        <v>13</v>
      </c>
      <c r="AG14" s="74" t="s">
        <v>26</v>
      </c>
      <c r="AH14" s="81" t="str">
        <f>AB11</f>
        <v>U(h) =</v>
      </c>
      <c r="AI14" s="82">
        <f>AD14</f>
        <v>30</v>
      </c>
      <c r="AJ14" s="82" t="s">
        <v>21</v>
      </c>
      <c r="AK14" s="82" t="s">
        <v>67</v>
      </c>
      <c r="AL14" s="82" t="s">
        <v>68</v>
      </c>
      <c r="AM14" s="83" t="str">
        <f>AE15</f>
        <v>FALSO</v>
      </c>
      <c r="AN14" s="82" t="s">
        <v>12</v>
      </c>
      <c r="AO14" s="82" t="s">
        <v>18</v>
      </c>
      <c r="AP14" s="82" t="s">
        <v>23</v>
      </c>
      <c r="AQ14" s="79"/>
      <c r="AR14" s="79"/>
      <c r="AS14" s="54"/>
      <c r="AT14" s="54"/>
      <c r="AU14" s="54"/>
      <c r="AV14" s="54"/>
      <c r="AW14" s="54"/>
    </row>
    <row r="15" spans="1:62" x14ac:dyDescent="0.3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Y15" s="54"/>
      <c r="Z15" s="79"/>
      <c r="AA15" s="79"/>
      <c r="AB15" s="57"/>
      <c r="AC15" s="61"/>
      <c r="AD15" s="67" t="s">
        <v>66</v>
      </c>
      <c r="AE15" s="84" t="str">
        <f>IF(OR(AN12&lt;AQ12, AN12&gt;AQ12), "FALSO", AP11)</f>
        <v>FALSO</v>
      </c>
      <c r="AF15" s="57"/>
      <c r="AG15" s="75"/>
      <c r="AH15" s="81"/>
      <c r="AI15" s="82"/>
      <c r="AJ15" s="82"/>
      <c r="AK15" s="82"/>
      <c r="AL15" s="82"/>
      <c r="AM15" s="83"/>
      <c r="AN15" s="82"/>
      <c r="AO15" s="82"/>
      <c r="AP15" s="82"/>
      <c r="AQ15" s="79"/>
      <c r="AR15" s="79"/>
      <c r="AS15" s="54"/>
      <c r="AT15" s="54"/>
      <c r="AU15" s="54"/>
      <c r="AV15" s="54"/>
      <c r="AW15" s="54"/>
    </row>
    <row r="16" spans="1:62" x14ac:dyDescent="0.3">
      <c r="B16" s="54"/>
      <c r="C16" s="54"/>
      <c r="D16" s="63" t="s">
        <v>63</v>
      </c>
      <c r="E16" s="62" t="s">
        <v>43</v>
      </c>
      <c r="F16" s="63">
        <f>N7</f>
        <v>-2</v>
      </c>
      <c r="G16" s="69" t="s">
        <v>26</v>
      </c>
      <c r="H16" s="85" t="s">
        <v>53</v>
      </c>
      <c r="I16" s="85">
        <f>(K14*F16+N14)/(F16+F14)</f>
        <v>20</v>
      </c>
      <c r="J16" s="63"/>
      <c r="K16" s="63" t="s">
        <v>63</v>
      </c>
      <c r="L16" s="63" t="s">
        <v>43</v>
      </c>
      <c r="M16" s="63">
        <f>P7</f>
        <v>-8</v>
      </c>
      <c r="N16" s="69" t="s">
        <v>26</v>
      </c>
      <c r="O16" s="85" t="s">
        <v>54</v>
      </c>
      <c r="P16" s="85">
        <f>(K14*M16+N14)/(M16+H14)</f>
        <v>10</v>
      </c>
      <c r="Q16" s="54"/>
      <c r="R16" s="54"/>
      <c r="S16" s="54"/>
      <c r="T16" s="54"/>
      <c r="U16" s="54"/>
      <c r="V16" s="54"/>
      <c r="W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</row>
    <row r="17" spans="2:49" ht="15.6" x14ac:dyDescent="0.3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Y17" s="54"/>
      <c r="Z17" s="54"/>
      <c r="AA17" s="56" t="s">
        <v>30</v>
      </c>
      <c r="AB17" s="63" t="s">
        <v>31</v>
      </c>
      <c r="AC17" s="86" t="s">
        <v>26</v>
      </c>
      <c r="AD17" s="62">
        <f>AI14</f>
        <v>30</v>
      </c>
      <c r="AE17" s="63" t="s">
        <v>55</v>
      </c>
      <c r="AF17" s="87" t="str">
        <f>AM14</f>
        <v>FALSO</v>
      </c>
      <c r="AG17" s="63" t="s">
        <v>57</v>
      </c>
      <c r="AH17" s="63" t="s">
        <v>23</v>
      </c>
      <c r="AI17" s="63" t="s">
        <v>14</v>
      </c>
      <c r="AJ17" s="63">
        <v>1</v>
      </c>
      <c r="AK17" s="69" t="s">
        <v>26</v>
      </c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</row>
    <row r="18" spans="2:49" x14ac:dyDescent="0.3">
      <c r="B18" s="54"/>
      <c r="C18" s="54"/>
      <c r="D18" s="54"/>
      <c r="E18" s="72" t="s">
        <v>59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</row>
    <row r="19" spans="2:49" ht="15.6" x14ac:dyDescent="0.3"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Y19" s="54"/>
      <c r="Z19" s="54"/>
      <c r="AA19" s="54"/>
      <c r="AB19" s="69" t="s">
        <v>26</v>
      </c>
      <c r="AC19" s="88" t="e">
        <f>30*LN(AF17)</f>
        <v>#VALUE!</v>
      </c>
      <c r="AD19" s="88"/>
      <c r="AE19" s="66" t="s">
        <v>18</v>
      </c>
      <c r="AF19" s="67" t="s">
        <v>23</v>
      </c>
      <c r="AG19" s="67" t="s">
        <v>14</v>
      </c>
      <c r="AH19" s="66">
        <v>1</v>
      </c>
      <c r="AI19" s="89" t="s">
        <v>26</v>
      </c>
      <c r="AJ19" s="90" t="s">
        <v>23</v>
      </c>
      <c r="AK19" s="91" t="s">
        <v>14</v>
      </c>
      <c r="AL19" s="92" t="e">
        <f>AH19-AC19</f>
        <v>#VALUE!</v>
      </c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</row>
    <row r="20" spans="2:49" x14ac:dyDescent="0.3">
      <c r="B20" s="54"/>
      <c r="C20" s="54"/>
      <c r="D20" s="54"/>
      <c r="E20" s="75" t="str">
        <f>E4</f>
        <v>U(h) =</v>
      </c>
      <c r="F20" s="58" t="s">
        <v>41</v>
      </c>
      <c r="G20" s="59">
        <f>G4</f>
        <v>30</v>
      </c>
      <c r="H20" s="59" t="str">
        <f t="shared" ref="H20:M20" si="12">H4</f>
        <v>h</v>
      </c>
      <c r="I20" s="59" t="str">
        <f t="shared" si="12"/>
        <v>+</v>
      </c>
      <c r="J20" s="59">
        <f t="shared" si="12"/>
        <v>180</v>
      </c>
      <c r="K20" s="59"/>
      <c r="L20" s="57" t="str">
        <f t="shared" si="12"/>
        <v>dh</v>
      </c>
      <c r="M20" s="57" t="str">
        <f t="shared" si="12"/>
        <v>=</v>
      </c>
      <c r="N20" s="58" t="s">
        <v>41</v>
      </c>
      <c r="O20" s="76" t="s">
        <v>11</v>
      </c>
      <c r="P20" s="93">
        <f>I16</f>
        <v>20</v>
      </c>
      <c r="Q20" s="93"/>
      <c r="R20" s="62" t="s">
        <v>18</v>
      </c>
      <c r="S20" s="93">
        <f>P16</f>
        <v>10</v>
      </c>
      <c r="T20" s="93"/>
      <c r="U20" s="76" t="s">
        <v>12</v>
      </c>
      <c r="V20" s="78" t="s">
        <v>13</v>
      </c>
      <c r="W20" s="74" t="s">
        <v>26</v>
      </c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</row>
    <row r="21" spans="2:49" x14ac:dyDescent="0.3">
      <c r="B21" s="54"/>
      <c r="C21" s="54"/>
      <c r="D21" s="54"/>
      <c r="E21" s="75"/>
      <c r="F21" s="61"/>
      <c r="G21" s="63" t="str">
        <f>G5</f>
        <v xml:space="preserve">h²   + </v>
      </c>
      <c r="H21" s="63">
        <f t="shared" ref="H21:K21" si="13">H5</f>
        <v>10</v>
      </c>
      <c r="I21" s="63" t="str">
        <f t="shared" si="13"/>
        <v>h</v>
      </c>
      <c r="J21" s="63" t="str">
        <f t="shared" si="13"/>
        <v>+</v>
      </c>
      <c r="K21" s="63">
        <f t="shared" si="13"/>
        <v>16</v>
      </c>
      <c r="L21" s="57"/>
      <c r="M21" s="57"/>
      <c r="N21" s="61"/>
      <c r="O21" s="76"/>
      <c r="P21" s="62" t="str">
        <f>K12</f>
        <v>h   +</v>
      </c>
      <c r="Q21" s="62">
        <f t="shared" ref="Q21:T21" si="14">L12</f>
        <v>2</v>
      </c>
      <c r="R21" s="63"/>
      <c r="S21" s="62" t="str">
        <f t="shared" si="14"/>
        <v>h   +</v>
      </c>
      <c r="T21" s="63">
        <f t="shared" si="14"/>
        <v>8</v>
      </c>
      <c r="U21" s="76"/>
      <c r="V21" s="78"/>
      <c r="W21" s="75"/>
      <c r="Y21" s="54"/>
      <c r="Z21" s="54"/>
      <c r="AA21" s="54"/>
      <c r="AB21" s="94" t="s">
        <v>32</v>
      </c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</row>
    <row r="22" spans="2:49" x14ac:dyDescent="0.3"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</row>
    <row r="23" spans="2:49" x14ac:dyDescent="0.3">
      <c r="B23" s="54"/>
      <c r="C23" s="54"/>
      <c r="D23" s="95" t="s">
        <v>26</v>
      </c>
      <c r="E23" s="82" t="str">
        <f>E20</f>
        <v>U(h) =</v>
      </c>
      <c r="F23" s="82">
        <f>P20</f>
        <v>20</v>
      </c>
      <c r="G23" s="82" t="s">
        <v>55</v>
      </c>
      <c r="H23" s="82" t="str">
        <f>P21</f>
        <v>h   +</v>
      </c>
      <c r="I23" s="82">
        <f>Q21</f>
        <v>2</v>
      </c>
      <c r="J23" s="96" t="s">
        <v>12</v>
      </c>
      <c r="K23" s="82" t="s">
        <v>18</v>
      </c>
      <c r="L23" s="82">
        <f>S20</f>
        <v>10</v>
      </c>
      <c r="M23" s="82" t="s">
        <v>55</v>
      </c>
      <c r="N23" s="82" t="str">
        <f>S21</f>
        <v>h   +</v>
      </c>
      <c r="O23" s="82">
        <f>T21</f>
        <v>8</v>
      </c>
      <c r="P23" s="96" t="s">
        <v>12</v>
      </c>
      <c r="Q23" s="82" t="s">
        <v>18</v>
      </c>
      <c r="R23" s="82" t="s">
        <v>23</v>
      </c>
      <c r="S23" s="79"/>
      <c r="T23" s="79"/>
      <c r="U23" s="54"/>
      <c r="V23" s="54"/>
      <c r="W23" s="54"/>
      <c r="Y23" s="54"/>
      <c r="Z23" s="54"/>
      <c r="AA23" s="54"/>
      <c r="AB23" s="97" t="str">
        <f>AB11</f>
        <v>U(h) =</v>
      </c>
      <c r="AC23" s="97">
        <f>AI14</f>
        <v>30</v>
      </c>
      <c r="AD23" s="97" t="str">
        <f>AJ14</f>
        <v>.</v>
      </c>
      <c r="AE23" s="97" t="str">
        <f>AK14</f>
        <v>LN (</v>
      </c>
      <c r="AF23" s="97" t="str">
        <f>AL14</f>
        <v>h  +</v>
      </c>
      <c r="AG23" s="98" t="str">
        <f>AM14</f>
        <v>FALSO</v>
      </c>
      <c r="AH23" s="97" t="str">
        <f>AN14</f>
        <v>)</v>
      </c>
      <c r="AI23" s="97" t="s">
        <v>33</v>
      </c>
      <c r="AJ23" s="98" t="e">
        <f>-AL19</f>
        <v>#VALUE!</v>
      </c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</row>
    <row r="24" spans="2:49" ht="14.4" customHeight="1" x14ac:dyDescent="0.3">
      <c r="B24" s="54"/>
      <c r="C24" s="54"/>
      <c r="D24" s="95"/>
      <c r="E24" s="82"/>
      <c r="F24" s="82"/>
      <c r="G24" s="82"/>
      <c r="H24" s="82"/>
      <c r="I24" s="82"/>
      <c r="J24" s="96"/>
      <c r="K24" s="82"/>
      <c r="L24" s="82"/>
      <c r="M24" s="82"/>
      <c r="N24" s="82"/>
      <c r="O24" s="82"/>
      <c r="P24" s="96"/>
      <c r="Q24" s="82"/>
      <c r="R24" s="82"/>
      <c r="S24" s="79"/>
      <c r="T24" s="79"/>
      <c r="U24" s="54"/>
      <c r="V24" s="54"/>
      <c r="W24" s="54"/>
      <c r="Y24" s="54"/>
      <c r="Z24" s="54"/>
      <c r="AA24" s="54"/>
      <c r="AB24" s="97"/>
      <c r="AC24" s="97"/>
      <c r="AD24" s="97"/>
      <c r="AE24" s="97"/>
      <c r="AF24" s="97"/>
      <c r="AG24" s="98"/>
      <c r="AH24" s="97"/>
      <c r="AI24" s="97"/>
      <c r="AJ24" s="97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</row>
    <row r="25" spans="2:49" x14ac:dyDescent="0.3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</row>
    <row r="26" spans="2:49" ht="15.6" x14ac:dyDescent="0.3">
      <c r="B26" s="54"/>
      <c r="C26" s="54"/>
      <c r="D26" s="56" t="s">
        <v>30</v>
      </c>
      <c r="E26" s="63" t="s">
        <v>31</v>
      </c>
      <c r="F26" s="99" t="s">
        <v>26</v>
      </c>
      <c r="G26" s="63">
        <f>F23</f>
        <v>20</v>
      </c>
      <c r="H26" s="63" t="s">
        <v>55</v>
      </c>
      <c r="I26" s="63">
        <f>I23+0</f>
        <v>2</v>
      </c>
      <c r="J26" s="63" t="s">
        <v>57</v>
      </c>
      <c r="K26" s="63">
        <f>L23</f>
        <v>10</v>
      </c>
      <c r="L26" s="63" t="s">
        <v>55</v>
      </c>
      <c r="M26" s="63">
        <f>O23+0</f>
        <v>8</v>
      </c>
      <c r="N26" s="63" t="s">
        <v>58</v>
      </c>
      <c r="O26" s="63" t="s">
        <v>60</v>
      </c>
      <c r="P26" s="63">
        <v>1</v>
      </c>
      <c r="Q26" s="69" t="s">
        <v>26</v>
      </c>
      <c r="S26" s="54"/>
      <c r="T26" s="54"/>
      <c r="U26" s="54"/>
      <c r="V26" s="54"/>
      <c r="W26" s="54"/>
      <c r="Y26" s="54"/>
      <c r="Z26" s="55" t="s">
        <v>35</v>
      </c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</row>
    <row r="27" spans="2:49" ht="15.6" x14ac:dyDescent="0.3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100" t="s">
        <v>14</v>
      </c>
      <c r="AL27" s="101" t="e">
        <f>AC30-AC31</f>
        <v>#VALUE!</v>
      </c>
      <c r="AM27" s="102" t="s">
        <v>39</v>
      </c>
      <c r="AN27" s="54"/>
      <c r="AO27" s="54"/>
      <c r="AP27" s="54"/>
      <c r="AQ27" s="54"/>
      <c r="AR27" s="54"/>
      <c r="AS27" s="54"/>
      <c r="AT27" s="54"/>
      <c r="AU27" s="54"/>
      <c r="AV27" s="54"/>
      <c r="AW27" s="54"/>
    </row>
    <row r="28" spans="2:49" ht="15.6" x14ac:dyDescent="0.3">
      <c r="B28" s="54"/>
      <c r="C28" s="54"/>
      <c r="D28" s="54"/>
      <c r="E28" s="69" t="s">
        <v>26</v>
      </c>
      <c r="F28" s="88">
        <f>G26*LN(I26)+K26*LN(M26)</f>
        <v>34.657359027997266</v>
      </c>
      <c r="G28" s="88"/>
      <c r="H28" s="66" t="s">
        <v>18</v>
      </c>
      <c r="I28" s="67" t="s">
        <v>23</v>
      </c>
      <c r="J28" s="67" t="s">
        <v>14</v>
      </c>
      <c r="K28" s="66">
        <f>P26</f>
        <v>1</v>
      </c>
      <c r="L28" s="89" t="s">
        <v>26</v>
      </c>
      <c r="M28" s="91" t="s">
        <v>23</v>
      </c>
      <c r="N28" s="91" t="s">
        <v>14</v>
      </c>
      <c r="O28" s="92">
        <f>K28-F28</f>
        <v>-33.657359027997266</v>
      </c>
      <c r="P28" s="54"/>
      <c r="Q28" s="54"/>
      <c r="R28" s="54"/>
      <c r="S28" s="54"/>
      <c r="T28" s="54"/>
      <c r="U28" s="54"/>
      <c r="V28" s="54"/>
      <c r="W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</row>
    <row r="29" spans="2:49" x14ac:dyDescent="0.3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</row>
    <row r="30" spans="2:49" ht="15.6" x14ac:dyDescent="0.3">
      <c r="B30" s="54"/>
      <c r="C30" s="54"/>
      <c r="D30" s="54"/>
      <c r="E30" s="94" t="s">
        <v>32</v>
      </c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Y30" s="54"/>
      <c r="Z30" s="54"/>
      <c r="AA30" s="54"/>
      <c r="AB30" s="103" t="s">
        <v>61</v>
      </c>
      <c r="AC30" s="104" t="e">
        <f>30*LN(12+AG23)+AL19</f>
        <v>#VALUE!</v>
      </c>
      <c r="AD30" s="105" t="s">
        <v>39</v>
      </c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</row>
    <row r="31" spans="2:49" ht="15.6" x14ac:dyDescent="0.3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Y31" s="54"/>
      <c r="Z31" s="54"/>
      <c r="AA31" s="54"/>
      <c r="AB31" s="106" t="s">
        <v>62</v>
      </c>
      <c r="AC31" s="104" t="e">
        <f>30*LN(6+AG23)+AL19</f>
        <v>#VALUE!</v>
      </c>
      <c r="AD31" s="105" t="s">
        <v>39</v>
      </c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</row>
    <row r="32" spans="2:49" x14ac:dyDescent="0.3">
      <c r="B32" s="54"/>
      <c r="C32" s="54"/>
      <c r="D32" s="54"/>
      <c r="E32" s="97" t="str">
        <f>E20</f>
        <v>U(h) =</v>
      </c>
      <c r="F32" s="97">
        <f t="shared" ref="F32:P32" si="15">F23</f>
        <v>20</v>
      </c>
      <c r="G32" s="107" t="str">
        <f t="shared" si="15"/>
        <v>LN(</v>
      </c>
      <c r="H32" s="97" t="str">
        <f t="shared" si="15"/>
        <v>h   +</v>
      </c>
      <c r="I32" s="97">
        <f t="shared" si="15"/>
        <v>2</v>
      </c>
      <c r="J32" s="108" t="str">
        <f t="shared" si="15"/>
        <v>)</v>
      </c>
      <c r="K32" s="97" t="str">
        <f t="shared" si="15"/>
        <v>+</v>
      </c>
      <c r="L32" s="97">
        <f t="shared" si="15"/>
        <v>10</v>
      </c>
      <c r="M32" s="97" t="str">
        <f t="shared" si="15"/>
        <v>LN(</v>
      </c>
      <c r="N32" s="97" t="str">
        <f t="shared" si="15"/>
        <v>h   +</v>
      </c>
      <c r="O32" s="97">
        <f t="shared" si="15"/>
        <v>8</v>
      </c>
      <c r="P32" s="108" t="str">
        <f t="shared" si="15"/>
        <v>)</v>
      </c>
      <c r="Q32" s="97" t="s">
        <v>33</v>
      </c>
      <c r="R32" s="98">
        <f>-O28</f>
        <v>33.657359027997266</v>
      </c>
      <c r="S32" s="54"/>
      <c r="T32" s="54"/>
      <c r="U32" s="54"/>
      <c r="V32" s="54"/>
      <c r="W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</row>
    <row r="33" spans="2:49" x14ac:dyDescent="0.3">
      <c r="B33" s="54"/>
      <c r="C33" s="54"/>
      <c r="D33" s="54"/>
      <c r="E33" s="97"/>
      <c r="F33" s="97"/>
      <c r="G33" s="107"/>
      <c r="H33" s="97"/>
      <c r="I33" s="97"/>
      <c r="J33" s="108"/>
      <c r="K33" s="97"/>
      <c r="L33" s="97"/>
      <c r="M33" s="97"/>
      <c r="N33" s="97"/>
      <c r="O33" s="97"/>
      <c r="P33" s="108"/>
      <c r="Q33" s="97"/>
      <c r="R33" s="98"/>
      <c r="S33" s="54"/>
      <c r="T33" s="54"/>
      <c r="U33" s="54"/>
      <c r="V33" s="54"/>
      <c r="W33" s="54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</row>
    <row r="34" spans="2:49" x14ac:dyDescent="0.3"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</row>
    <row r="35" spans="2:49" ht="15.6" x14ac:dyDescent="0.3">
      <c r="B35" s="54"/>
      <c r="C35" s="55" t="s">
        <v>35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</row>
    <row r="36" spans="2:49" ht="15.6" x14ac:dyDescent="0.3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109" t="s">
        <v>14</v>
      </c>
      <c r="O36" s="101">
        <f>F39-F40</f>
        <v>14.759065198095783</v>
      </c>
      <c r="P36" s="102" t="s">
        <v>39</v>
      </c>
      <c r="Q36" s="54"/>
      <c r="R36" s="54"/>
      <c r="S36" s="54"/>
      <c r="T36" s="54"/>
      <c r="U36" s="54"/>
      <c r="V36" s="54"/>
      <c r="W36" s="54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</row>
    <row r="37" spans="2:49" x14ac:dyDescent="0.3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</row>
    <row r="38" spans="2:49" x14ac:dyDescent="0.3"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</row>
    <row r="39" spans="2:49" ht="15.6" x14ac:dyDescent="0.3">
      <c r="B39" s="54"/>
      <c r="C39" s="54"/>
      <c r="D39" s="54"/>
      <c r="E39" s="103" t="s">
        <v>61</v>
      </c>
      <c r="F39" s="104">
        <f>F32*LN(12+I32)+L32*LN(12+O32)+O28</f>
        <v>49.081110299847815</v>
      </c>
      <c r="G39" s="105" t="s">
        <v>39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</row>
    <row r="40" spans="2:49" ht="15.6" x14ac:dyDescent="0.3">
      <c r="B40" s="54"/>
      <c r="C40" s="54"/>
      <c r="D40" s="54"/>
      <c r="E40" s="106" t="s">
        <v>62</v>
      </c>
      <c r="F40" s="104">
        <f>F32*LN(6+I32)+L32*LN(6+O32)+O28</f>
        <v>34.322045101752032</v>
      </c>
      <c r="G40" s="105" t="s">
        <v>39</v>
      </c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</row>
    <row r="41" spans="2:49" x14ac:dyDescent="0.3"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</row>
    <row r="42" spans="2:49" x14ac:dyDescent="0.3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</row>
    <row r="43" spans="2:49" x14ac:dyDescent="0.3"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</row>
    <row r="44" spans="2:49" x14ac:dyDescent="0.3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</row>
    <row r="45" spans="2:49" x14ac:dyDescent="0.3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</row>
    <row r="46" spans="2:49" x14ac:dyDescent="0.3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</row>
    <row r="47" spans="2:49" x14ac:dyDescent="0.3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</row>
    <row r="48" spans="2:49" x14ac:dyDescent="0.3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</row>
    <row r="49" spans="2:49" x14ac:dyDescent="0.3"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</row>
    <row r="50" spans="2:49" x14ac:dyDescent="0.3"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</row>
    <row r="51" spans="2:49" s="50" customFormat="1" x14ac:dyDescent="0.3"/>
    <row r="52" spans="2:49" s="50" customFormat="1" x14ac:dyDescent="0.3"/>
    <row r="53" spans="2:49" s="50" customFormat="1" x14ac:dyDescent="0.3"/>
    <row r="54" spans="2:49" s="50" customFormat="1" x14ac:dyDescent="0.3"/>
    <row r="55" spans="2:49" s="50" customFormat="1" x14ac:dyDescent="0.3"/>
    <row r="56" spans="2:49" s="50" customFormat="1" x14ac:dyDescent="0.3"/>
    <row r="57" spans="2:49" s="50" customFormat="1" x14ac:dyDescent="0.3"/>
    <row r="58" spans="2:49" s="50" customFormat="1" x14ac:dyDescent="0.3"/>
    <row r="59" spans="2:49" s="50" customFormat="1" x14ac:dyDescent="0.3"/>
    <row r="60" spans="2:49" s="50" customFormat="1" x14ac:dyDescent="0.3"/>
    <row r="61" spans="2:49" s="50" customFormat="1" x14ac:dyDescent="0.3"/>
    <row r="62" spans="2:49" s="50" customFormat="1" x14ac:dyDescent="0.3"/>
    <row r="63" spans="2:49" s="50" customFormat="1" x14ac:dyDescent="0.3"/>
    <row r="64" spans="2:49" s="50" customFormat="1" x14ac:dyDescent="0.3"/>
    <row r="65" s="50" customFormat="1" x14ac:dyDescent="0.3"/>
    <row r="66" s="50" customFormat="1" x14ac:dyDescent="0.3"/>
    <row r="67" s="50" customFormat="1" x14ac:dyDescent="0.3"/>
    <row r="68" s="50" customFormat="1" x14ac:dyDescent="0.3"/>
    <row r="69" s="50" customFormat="1" x14ac:dyDescent="0.3"/>
    <row r="70" s="50" customFormat="1" x14ac:dyDescent="0.3"/>
    <row r="71" s="50" customFormat="1" x14ac:dyDescent="0.3"/>
    <row r="72" s="50" customFormat="1" x14ac:dyDescent="0.3"/>
    <row r="73" s="50" customFormat="1" x14ac:dyDescent="0.3"/>
    <row r="74" s="50" customFormat="1" x14ac:dyDescent="0.3"/>
    <row r="75" s="50" customFormat="1" x14ac:dyDescent="0.3"/>
    <row r="76" s="50" customFormat="1" x14ac:dyDescent="0.3"/>
    <row r="77" s="50" customFormat="1" x14ac:dyDescent="0.3"/>
  </sheetData>
  <sheetProtection algorithmName="SHA-512" hashValue="0sNYvgfW1yksbRFLr2Onl5p5Z8L+cpROdUetnI7vrxfMyDltf3UfMNRbdke84GdNSUzgaqiYuyzWHjR9NAtqXQ==" saltValue="uE9/ujvRMIAoIhFivjNPFA==" spinCount="100000" sheet="1" formatCells="0" formatColumns="0" formatRows="0"/>
  <mergeCells count="94">
    <mergeCell ref="AA14:AA15"/>
    <mergeCell ref="AH14:AH15"/>
    <mergeCell ref="Z14:Z15"/>
    <mergeCell ref="B2:W2"/>
    <mergeCell ref="F28:G28"/>
    <mergeCell ref="E32:E33"/>
    <mergeCell ref="R32:R33"/>
    <mergeCell ref="Q32:Q33"/>
    <mergeCell ref="P32:P33"/>
    <mergeCell ref="O32:O33"/>
    <mergeCell ref="N32:N33"/>
    <mergeCell ref="G32:G33"/>
    <mergeCell ref="F32:F33"/>
    <mergeCell ref="M32:M33"/>
    <mergeCell ref="L32:L33"/>
    <mergeCell ref="K32:K33"/>
    <mergeCell ref="J32:J33"/>
    <mergeCell ref="I32:I33"/>
    <mergeCell ref="H32:H33"/>
    <mergeCell ref="S20:T20"/>
    <mergeCell ref="L20:L21"/>
    <mergeCell ref="S23:S24"/>
    <mergeCell ref="T23:T24"/>
    <mergeCell ref="M23:M24"/>
    <mergeCell ref="N23:N24"/>
    <mergeCell ref="O23:O24"/>
    <mergeCell ref="P23:P24"/>
    <mergeCell ref="Q23:Q24"/>
    <mergeCell ref="R23:R24"/>
    <mergeCell ref="J23:J24"/>
    <mergeCell ref="K23:K24"/>
    <mergeCell ref="L23:L24"/>
    <mergeCell ref="E20:E21"/>
    <mergeCell ref="M20:M21"/>
    <mergeCell ref="E23:E24"/>
    <mergeCell ref="F23:F24"/>
    <mergeCell ref="G23:G24"/>
    <mergeCell ref="H23:H24"/>
    <mergeCell ref="I23:I24"/>
    <mergeCell ref="Y2:AW2"/>
    <mergeCell ref="F20:F21"/>
    <mergeCell ref="U20:U21"/>
    <mergeCell ref="V20:V21"/>
    <mergeCell ref="F4:F5"/>
    <mergeCell ref="L4:L5"/>
    <mergeCell ref="M4:M5"/>
    <mergeCell ref="J11:J12"/>
    <mergeCell ref="K11:L11"/>
    <mergeCell ref="N11:O11"/>
    <mergeCell ref="P11:P12"/>
    <mergeCell ref="V11:V12"/>
    <mergeCell ref="W20:W21"/>
    <mergeCell ref="N20:N21"/>
    <mergeCell ref="O20:O21"/>
    <mergeCell ref="P20:Q20"/>
    <mergeCell ref="AI11:AI12"/>
    <mergeCell ref="AJ11:AJ12"/>
    <mergeCell ref="E4:E5"/>
    <mergeCell ref="AB4:AB5"/>
    <mergeCell ref="AI4:AI5"/>
    <mergeCell ref="AC4:AC5"/>
    <mergeCell ref="AJ4:AJ5"/>
    <mergeCell ref="AU11:AU12"/>
    <mergeCell ref="AB14:AB15"/>
    <mergeCell ref="AC14:AC15"/>
    <mergeCell ref="AF14:AF15"/>
    <mergeCell ref="AG14:AG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K11:AK12"/>
    <mergeCell ref="AT11:AT12"/>
    <mergeCell ref="AB11:AB12"/>
    <mergeCell ref="D23:D24"/>
    <mergeCell ref="AV11:AV12"/>
    <mergeCell ref="AR14:AR15"/>
    <mergeCell ref="AC19:AD19"/>
    <mergeCell ref="AC11:AC12"/>
    <mergeCell ref="AL11:AL12"/>
    <mergeCell ref="AQ14:AQ15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QUESTÃO 1</vt:lpstr>
      <vt:lpstr>QUESTÃO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Logon PF Fiap</dc:creator>
  <cp:lastModifiedBy>Ismael de Araujo Silva</cp:lastModifiedBy>
  <dcterms:created xsi:type="dcterms:W3CDTF">2023-05-25T22:54:25Z</dcterms:created>
  <dcterms:modified xsi:type="dcterms:W3CDTF">2023-06-14T18:09:03Z</dcterms:modified>
</cp:coreProperties>
</file>